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7a93b25ee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945f43fca9c405f"/>
    <x:sheet xmlns:r="http://schemas.openxmlformats.org/officeDocument/2006/relationships" name="Species" sheetId="2" r:id="Re01144694c6a4182"/>
    <x:sheet xmlns:r="http://schemas.openxmlformats.org/officeDocument/2006/relationships" name="Circularity" sheetId="3" r:id="Ra95c3b7051904bb9"/>
    <x:sheet xmlns:r="http://schemas.openxmlformats.org/officeDocument/2006/relationships" name="Employment" sheetId="4" r:id="R661da8cc1a8540f7"/>
    <x:sheet xmlns:r="http://schemas.openxmlformats.org/officeDocument/2006/relationships" name="Scenarios" sheetId="5" r:id="R4bb0e8b94a524349"/>
    <x:sheet xmlns:r="http://schemas.openxmlformats.org/officeDocument/2006/relationships" name="Evidence and caveats" sheetId="6" r:id="R721dc4c4c729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4E5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35989354548b6" /><Relationship Type="http://schemas.openxmlformats.org/officeDocument/2006/relationships/theme" Target="/xl/theme/theme1.xml" Id="Rbab4339ab5b940a8" /><Relationship Type="http://schemas.openxmlformats.org/officeDocument/2006/relationships/sharedStrings" Target="/xl/sharedStrings.xml" Id="R4dddd5d36d824ace" /><Relationship Type="http://schemas.openxmlformats.org/officeDocument/2006/relationships/worksheet" Target="/xl/worksheets/sheet1.xml" Id="R3945f43fca9c405f" /><Relationship Type="http://schemas.openxmlformats.org/officeDocument/2006/relationships/worksheet" Target="/xl/worksheets/sheet2.xml" Id="Re01144694c6a4182" /><Relationship Type="http://schemas.openxmlformats.org/officeDocument/2006/relationships/worksheet" Target="/xl/worksheets/sheet3.xml" Id="Ra95c3b7051904bb9" /><Relationship Type="http://schemas.openxmlformats.org/officeDocument/2006/relationships/worksheet" Target="/xl/worksheets/sheet4.xml" Id="R661da8cc1a8540f7" /><Relationship Type="http://schemas.openxmlformats.org/officeDocument/2006/relationships/worksheet" Target="/xl/worksheets/sheet5.xml" Id="R4bb0e8b94a524349" /><Relationship Type="http://schemas.openxmlformats.org/officeDocument/2006/relationships/worksheet" Target="/xl/worksheets/sheet6.xml" Id="R721dc4c4c729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36" hidden="0" customWidth="1"/>
    <x:col min="3" max="3" width="28" hidden="0" customWidth="1"/>
    <x:col min="4" max="4" width="52" hidden="0" customWidth="1"/>
  </x:cols>
  <x:sheetData>
    <x:row r="1" ht="29" customHeight="1">
      <x:c r="A1" s="3" t="str">
        <x:v>DIGITAL GARDENS — CIRCULAR FOOD SCENARIO</x:v>
      </x:c>
      <x:c r="B1" s="3" t="str"/>
      <x:c r="C1" s="3" t="str"/>
      <x:c r="D1" s="3" t="str">
        <x:v>2026–2041 screening inputs</x:v>
      </x:c>
    </x:row>
    <x:row r="2" ht="22" customHeight="1">
      <x:c r="A2" t="str">
        <x:v>Parameter</x:v>
      </x:c>
      <x:c r="B2" t="str">
        <x:v>Value</x:v>
      </x:c>
      <x:c r="C2" t="str">
        <x:v>Unit</x:v>
      </x:c>
      <x:c r="D2" t="str">
        <x:v>Evidence status</x:v>
      </x:c>
    </x:row>
    <x:row r="3" ht="22" customHeight="1">
      <x:c r="A3" t="str">
        <x:v>Greenhouse hectares</x:v>
      </x:c>
      <x:c r="B3" t="n">
        <x:v>1000</x:v>
      </x:c>
      <x:c r="C3" t="str">
        <x:v>ha</x:v>
      </x:c>
      <x:c r="D3" t="str">
        <x:v>author scenario</x:v>
      </x:c>
    </x:row>
    <x:row r="4" ht="22" customHeight="1">
      <x:c r="A4" t="str">
        <x:v>Vegetable yield</x:v>
      </x:c>
      <x:c r="B4" t="n">
        <x:v>25</x:v>
      </x:c>
      <x:c r="C4" t="str">
        <x:v>kg/m²/year</x:v>
      </x:c>
      <x:c r="D4" t="str">
        <x:v>author scenario</x:v>
      </x:c>
    </x:row>
    <x:row r="5" ht="22" customHeight="1">
      <x:c r="A5" t="str">
        <x:v>RAS annual harvest</x:v>
      </x:c>
      <x:c r="B5" t="n">
        <x:v>120000</x:v>
      </x:c>
      <x:c r="C5" t="str">
        <x:v>tonnes live weight</x:v>
      </x:c>
      <x:c r="D5" t="str">
        <x:v>author scenario</x:v>
      </x:c>
    </x:row>
    <x:row r="6" ht="22" customHeight="1">
      <x:c r="A6" t="str">
        <x:v>Recovered heat potential</x:v>
      </x:c>
      <x:c r="B6" t="n">
        <x:v>14.57</x:v>
      </x:c>
      <x:c r="C6" t="str">
        <x:v>TWh/year</x:v>
      </x:c>
      <x:c r="D6" t="str">
        <x:v>prior model, not delivered</x:v>
      </x:c>
    </x:row>
    <x:row r="7">
      <x:c r="A7" t="str">
        <x:v>GH heat intensity</x:v>
      </x:c>
      <x:c r="B7" t="n">
        <x:v>450</x:v>
      </x:c>
      <x:c r="C7" t="str">
        <x:v>kWh/m²/year</x:v>
      </x:c>
      <x:c r="D7" t="str">
        <x:v>prior screening</x:v>
      </x:c>
    </x:row>
    <x:row r="8">
      <x:c r="A8" t="str">
        <x:v>LED energy</x:v>
      </x:c>
      <x:c r="B8" t="n">
        <x:v>160</x:v>
      </x:c>
      <x:c r="C8" t="str">
        <x:v>kWh/m²/year</x:v>
      </x:c>
      <x:c r="D8" t="str">
        <x:v>selective supplement</x:v>
      </x:c>
    </x:row>
    <x:row r="9">
      <x:c r="A9" t="str">
        <x:v>Residue wet mass per crop</x:v>
      </x:c>
      <x:c r="B9" t="n">
        <x:v>0.35</x:v>
      </x:c>
      <x:c r="C9" t="str">
        <x:v>fraction</x:v>
      </x:c>
      <x:c r="D9" t="str">
        <x:v>author assumption</x:v>
      </x:c>
    </x:row>
    <x:row r="10">
      <x:c r="A10" t="str">
        <x:v>Residue dry matter</x:v>
      </x:c>
      <x:c r="B10" t="n">
        <x:v>0.12</x:v>
      </x:c>
      <x:c r="C10" t="str">
        <x:v>fraction</x:v>
      </x:c>
      <x:c r="D10" t="str">
        <x:v>author assumption</x:v>
      </x:c>
    </x:row>
    <x:row r="11">
      <x:c r="A11" t="str">
        <x:v>Residue collection</x:v>
      </x:c>
      <x:c r="B11" t="n">
        <x:v>0.65</x:v>
      </x:c>
      <x:c r="C11" t="str">
        <x:v>fraction</x:v>
      </x:c>
      <x:c r="D11" t="str">
        <x:v>author assumption</x:v>
      </x:c>
    </x:row>
    <x:row r="12">
      <x:c r="A12" t="str">
        <x:v>Feed-grade suitability</x:v>
      </x:c>
      <x:c r="B12" t="n">
        <x:v>0.4</x:v>
      </x:c>
      <x:c r="C12" t="str">
        <x:v>fraction</x:v>
      </x:c>
      <x:c r="D12" t="str">
        <x:v>author assumption</x:v>
      </x:c>
    </x:row>
    <x:row r="13">
      <x:c r="A13" t="str">
        <x:v>Feed max ingredient fraction</x:v>
      </x:c>
      <x:c r="B13" t="n">
        <x:v>0.1</x:v>
      </x:c>
      <x:c r="C13" t="str">
        <x:v>fraction</x:v>
      </x:c>
      <x:c r="D13" t="str">
        <x:v>screening cap</x:v>
      </x:c>
    </x:row>
    <x:row r="14">
      <x:c r="A14" t="str">
        <x:v>F-W RAS dissolved N fraction</x:v>
      </x:c>
      <x:c r="B14" t="n">
        <x:v>0.3</x:v>
      </x:c>
      <x:c r="C14" t="str">
        <x:v>fraction</x:v>
      </x:c>
      <x:c r="D14" t="str">
        <x:v>author assumption</x:v>
      </x:c>
    </x:row>
    <x:row r="15">
      <x:c r="A15" t="str">
        <x:v>F-W RAS recovered N fraction</x:v>
      </x:c>
      <x:c r="B15" t="n">
        <x:v>0.35</x:v>
      </x:c>
      <x:c r="C15" t="str">
        <x:v>fraction</x:v>
      </x:c>
      <x:c r="D15" t="str">
        <x:v>author assumption</x:v>
      </x:c>
    </x:row>
    <x:row r="16">
      <x:c r="A16" t="str">
        <x:v>Salmon RAS recovered N/P</x:v>
      </x:c>
      <x:c r="B16" t="n">
        <x:v>0.4</x:v>
      </x:c>
      <x:c r="C16" t="str">
        <x:v>fraction</x:v>
      </x:c>
      <x:c r="D16" t="str">
        <x:v>author assumption</x:v>
      </x:c>
    </x:row>
    <x:row r="17">
      <x:c r="A17" t="str">
        <x:v>Salmon dissolved N fraction</x:v>
      </x:c>
      <x:c r="B17" t="n">
        <x:v>0.3</x:v>
      </x:c>
      <x:c r="C17" t="str">
        <x:v>fraction</x:v>
      </x:c>
      <x:c r="D17" t="str">
        <x:v>author assumption</x:v>
      </x:c>
    </x:row>
    <x:row r="18">
      <x:c r="A18" t="str">
        <x:v>Feed protein conversion to N</x:v>
      </x:c>
      <x:c r="B18" t="n">
        <x:v>0.16</x:v>
      </x:c>
      <x:c r="C18" t="str">
        <x:v>fraction</x:v>
      </x:c>
      <x:c r="D18" t="str">
        <x:v>approximation</x:v>
      </x:c>
    </x:row>
    <x:row r="19">
      <x:c r="A19" t="str">
        <x:v>P fraction in complete feed</x:v>
      </x:c>
      <x:c r="B19" t="n">
        <x:v>0.01</x:v>
      </x:c>
      <x:c r="C19" t="str">
        <x:v>fraction</x:v>
      </x:c>
      <x:c r="D19" t="str">
        <x:v>author assumption</x:v>
      </x:c>
    </x:row>
    <x:row r="20">
      <x:c r="A20" t="str">
        <x:v>Salmon dissolved P fraction</x:v>
      </x:c>
      <x:c r="B20" t="n">
        <x:v>0.4</x:v>
      </x:c>
      <x:c r="C20" t="str">
        <x:v>fraction</x:v>
      </x:c>
      <x:c r="D20" t="str">
        <x:v>author assumption</x:v>
      </x:c>
    </x:row>
    <x:row r="21">
      <x:c r="A21" t="str">
        <x:v>Algal dry N fraction</x:v>
      </x:c>
      <x:c r="B21" t="n">
        <x:v>0.08</x:v>
      </x:c>
      <x:c r="C21" t="str">
        <x:v>fraction</x:v>
      </x:c>
      <x:c r="D21" t="str">
        <x:v>author assumption</x:v>
      </x:c>
    </x:row>
    <x:row r="22">
      <x:c r="A22" t="str">
        <x:v>Algal dry P fraction</x:v>
      </x:c>
      <x:c r="B22" t="n">
        <x:v>0.01</x:v>
      </x:c>
      <x:c r="C22" t="str">
        <x:v>fraction</x:v>
      </x:c>
      <x:c r="D22" t="str">
        <x:v>author assumption</x:v>
      </x:c>
    </x:row>
    <x:row r="23">
      <x:c r="A23" t="str">
        <x:v>Algal lipid fraction</x:v>
      </x:c>
      <x:c r="B23" t="n">
        <x:v>0.25</x:v>
      </x:c>
      <x:c r="C23" t="str">
        <x:v>fraction</x:v>
      </x:c>
      <x:c r="D23" t="str">
        <x:v>author assumption</x:v>
      </x:c>
    </x:row>
    <x:row r="24">
      <x:c r="A24" t="str">
        <x:v>Oil extraction recovery</x:v>
      </x:c>
      <x:c r="B24" t="n">
        <x:v>0.7</x:v>
      </x:c>
      <x:c r="C24" t="str">
        <x:v>fraction</x:v>
      </x:c>
      <x:c r="D24" t="str">
        <x:v>author assumption</x:v>
      </x:c>
    </x:row>
    <x:row r="25">
      <x:c r="A25" t="str">
        <x:v>Algal oil inclusion in salmon feed</x:v>
      </x:c>
      <x:c r="B25" t="n">
        <x:v>0.01</x:v>
      </x:c>
      <x:c r="C25" t="str">
        <x:v>fraction</x:v>
      </x:c>
      <x:c r="D25" t="str">
        <x:v>author assumption</x:v>
      </x:c>
    </x:row>
    <x:row r="26">
      <x:c r="A26" t="str">
        <x:v>Algal phototrophic productivity</x:v>
      </x:c>
      <x:c r="B26" t="n">
        <x:v>20</x:v>
      </x:c>
      <x:c r="C26" t="str">
        <x:v>g/m²/day</x:v>
      </x:c>
      <x:c r="D26" t="str">
        <x:v>unverified</x:v>
      </x:c>
    </x:row>
    <x:row r="27">
      <x:c r="A27" t="str">
        <x:v>Productive days</x:v>
      </x:c>
      <x:c r="B27" t="n">
        <x:v>300</x:v>
      </x:c>
      <x:c r="C27" t="str">
        <x:v>days/year</x:v>
      </x:c>
      <x:c r="D27" t="str">
        <x:v>unverified</x:v>
      </x:c>
    </x:row>
    <x:row r="28">
      <x:c r="A28" t="str">
        <x:v>PBR auxiliary electricity</x:v>
      </x:c>
      <x:c r="B28" t="n">
        <x:v>3</x:v>
      </x:c>
      <x:c r="C28" t="str">
        <x:v>kWh/kg dry algae</x:v>
      </x:c>
      <x:c r="D28" t="str">
        <x:v>no full artificial lighting</x:v>
      </x:c>
    </x:row>
    <x:row r="29">
      <x:c r="A29" t="str">
        <x:v>Greenhouse FTE lower</x:v>
      </x:c>
      <x:c r="B29" t="n">
        <x:v>4</x:v>
      </x:c>
      <x:c r="C29" t="str">
        <x:v>FTE/hectare</x:v>
      </x:c>
      <x:c r="D29" t="str">
        <x:v>national headcount proxy</x:v>
      </x:c>
    </x:row>
    <x:row r="30">
      <x:c r="A30" t="str">
        <x:v>Greenhouse FTE upper</x:v>
      </x:c>
      <x:c r="B30" t="n">
        <x:v>9</x:v>
      </x:c>
      <x:c r="C30" t="str">
        <x:v>FTE/hectare</x:v>
      </x:c>
      <x:c r="D30" t="str">
        <x:v>national headcount proxy</x:v>
      </x:c>
    </x:row>
    <x:row r="31">
      <x:c r="A31" t="str">
        <x:v>Drying fruit input</x:v>
      </x:c>
      <x:c r="B31" t="n">
        <x:v>9961.35</x:v>
      </x:c>
      <x:c r="C31" t="str">
        <x:v>tonnes/year</x:v>
      </x:c>
      <x:c r="D31" t="str">
        <x:v>existing model scenario</x:v>
      </x:c>
    </x:row>
    <x:row r="32">
      <x:c r="A32" t="str">
        <x:v>Berry share of fruit dryer input</x:v>
      </x:c>
      <x:c r="B32" t="n">
        <x:v>0.5</x:v>
      </x:c>
      <x:c r="C32" t="str">
        <x:v>fraction</x:v>
      </x:c>
      <x:c r="D32" t="str">
        <x:v>subset not addition</x:v>
      </x:c>
    </x:row>
    <x:row r="33">
      <x:c r="A33" t="str">
        <x:v>Dry berry mass yield</x:v>
      </x:c>
      <x:c r="B33" t="n">
        <x:v>0.22</x:v>
      </x:c>
      <x:c r="C33" t="str">
        <x:v>fraction</x:v>
      </x:c>
      <x:c r="D33" t="str">
        <x:v>author assumption</x:v>
      </x:c>
    </x:row>
    <x:row r="34">
      <x:c r="A34" t="str">
        <x:v>Berry drying thermal intensity</x:v>
      </x:c>
      <x:c r="B34" t="n">
        <x:v>1.6</x:v>
      </x:c>
      <x:c r="C34" t="str">
        <x:v>kWh/kg wet</x:v>
      </x:c>
      <x:c r="D34" t="str">
        <x:v>author assumption</x:v>
      </x:c>
    </x:row>
    <x:row r="35">
      <x:c r="A35" t="str">
        <x:v>Processing FTE per 1000t lower</x:v>
      </x:c>
      <x:c r="B35" t="n">
        <x:v>10</x:v>
      </x:c>
      <x:c r="C35" t="str">
        <x:v>FTE/1000 tonnes</x:v>
      </x:c>
      <x:c r="D35" t="str">
        <x:v>author assumption</x:v>
      </x:c>
    </x:row>
    <x:row r="36">
      <x:c r="A36" t="str">
        <x:v>Processing FTE per 1000t upper</x:v>
      </x:c>
      <x:c r="B36" t="n">
        <x:v>30</x:v>
      </x:c>
      <x:c r="C36" t="str">
        <x:v>FTE/1000 tonnes</x:v>
      </x:c>
      <x:c r="D36" t="str">
        <x:v>author assumption</x:v>
      </x:c>
    </x:row>
    <x:row r="37">
      <x:c r="A37" t="str">
        <x:v>Algae FTE lower</x:v>
      </x:c>
      <x:c r="B37" t="n">
        <x:v>20</x:v>
      </x:c>
      <x:c r="C37" t="str">
        <x:v>FTE</x:v>
      </x:c>
      <x:c r="D37" t="str">
        <x:v>author assumption</x:v>
      </x:c>
    </x:row>
    <x:row r="38">
      <x:c r="A38" t="str">
        <x:v>Algae FTE upper</x:v>
      </x:c>
      <x:c r="B38" t="n">
        <x:v>80</x:v>
      </x:c>
      <x:c r="C38" t="str">
        <x:v>FTE</x:v>
      </x:c>
      <x:c r="D38" t="str">
        <x:v>author assumption</x:v>
      </x:c>
    </x:row>
    <x:row r="39">
      <x:c r="A39" t="str">
        <x:v>Feed mill FTE lower</x:v>
      </x:c>
      <x:c r="B39" t="n">
        <x:v>15</x:v>
      </x:c>
      <x:c r="C39" t="str">
        <x:v>FTE</x:v>
      </x:c>
      <x:c r="D39" t="str">
        <x:v>author assumption</x:v>
      </x:c>
    </x:row>
    <x:row r="40">
      <x:c r="A40" t="str">
        <x:v>Feed mill FTE upper</x:v>
      </x:c>
      <x:c r="B40" t="n">
        <x:v>60</x:v>
      </x:c>
      <x:c r="C40" t="str">
        <x:v>FTE</x:v>
      </x:c>
      <x:c r="D40" t="str">
        <x:v>author assumption</x:v>
      </x:c>
    </x:row>
    <x:row r="41">
      <x:c r="A41" t="str">
        <x:v>Salmon-to-dryer share</x:v>
      </x:c>
      <x:c r="B41" t="n">
        <x:v>0.1</x:v>
      </x:c>
      <x:c r="C41" t="str">
        <x:v>fraction</x:v>
      </x:c>
      <x:c r="D41" t="str">
        <x:v>author assumption</x:v>
      </x:c>
    </x:row>
    <x:row r="42">
      <x:c r="A42" t="str">
        <x:v>Salmon dry mass yield</x:v>
      </x:c>
      <x:c r="B42" t="n">
        <x:v>0.35</x:v>
      </x:c>
      <x:c r="C42" t="str">
        <x:v>fraction</x:v>
      </x:c>
      <x:c r="D42" t="str">
        <x:v>author assumption</x:v>
      </x:c>
    </x:row>
    <x:row r="43">
      <x:c r="A43" t="str">
        <x:v>Dried salmon candied share</x:v>
      </x:c>
      <x:c r="B43" t="n">
        <x:v>0.3</x:v>
      </x:c>
      <x:c r="C43" t="str">
        <x:v>fraction</x:v>
      </x:c>
      <x:c r="D43" t="str">
        <x:v>subset not additive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9" customHeight="1">
      <x:c r="A1" s="3" t="str">
        <x:v>Species</x:v>
      </x:c>
      <x:c r="B1" s="3" t="str">
        <x:v>Share</x:v>
      </x:c>
      <x:c r="C1" s="3" t="str">
        <x:v>FCR kg/kg</x:v>
      </x:c>
      <x:c r="D1" s="3" t="str">
        <x:v>Heat kWh/kg</x:v>
      </x:c>
      <x:c r="E1" s="3" t="str">
        <x:v>Electric kWh/kg</x:v>
      </x:c>
      <x:c r="F1" s="3" t="str">
        <x:v>Protein</x:v>
      </x:c>
      <x:c r="G1" s="3" t="str">
        <x:v>Jobs/kt lo</x:v>
      </x:c>
      <x:c r="H1" s="3" t="str">
        <x:v>Jobs/kt hi</x:v>
      </x:c>
      <x:c r="I1" s="3" t="str">
        <x:v>Tonnes harvest</x:v>
      </x:c>
      <x:c r="J1" s="3" t="str">
        <x:v>Feed tonnes</x:v>
      </x:c>
      <x:c r="K1" s="3" t="str">
        <x:v>Heat GWh</x:v>
      </x:c>
      <x:c r="L1" s="3" t="str">
        <x:v>Power GWh</x:v>
      </x:c>
      <x:c r="M1" s="3" t="str">
        <x:v>FTE low</x:v>
      </x:c>
    </x:row>
    <x:row r="2" ht="22" customHeight="1">
      <x:c r="A2" t="str">
        <x:v>Tilapia</x:v>
      </x:c>
      <x:c r="B2" t="n">
        <x:v>0.4</x:v>
      </x:c>
      <x:c r="C2" t="n">
        <x:v>1.5</x:v>
      </x:c>
      <x:c r="D2" t="n">
        <x:v>3</x:v>
      </x:c>
      <x:c r="E2" t="n">
        <x:v>8</x:v>
      </x:c>
      <x:c r="F2" t="n">
        <x:v>0.32</x:v>
      </x:c>
      <x:c r="G2" t="n">
        <x:v>12</x:v>
      </x:c>
      <x:c r="H2" t="n">
        <x:v>24</x:v>
      </x:c>
      <x:c r="I2" t="n">
        <x:f>Inputs!$B$5*B2</x:f>
        <x:v>48000</x:v>
      </x:c>
      <x:c r="J2" t="n">
        <x:f>I2*C2</x:f>
        <x:v>72000</x:v>
      </x:c>
      <x:c r="K2" t="n">
        <x:f>I2*D2/1000</x:f>
        <x:v>144</x:v>
      </x:c>
      <x:c r="L2" t="n">
        <x:f>I2*E2/1000</x:f>
        <x:v>384</x:v>
      </x:c>
      <x:c r="M2" t="n">
        <x:f>I2/1000*G2</x:f>
        <x:v>576</x:v>
      </x:c>
    </x:row>
    <x:row r="3" ht="22" customHeight="1">
      <x:c r="A3" t="str">
        <x:v>Prawns (freshwater)</x:v>
      </x:c>
      <x:c r="B3" t="n">
        <x:v>0.3</x:v>
      </x:c>
      <x:c r="C3" t="n">
        <x:v>1.7</x:v>
      </x:c>
      <x:c r="D3" t="n">
        <x:v>5</x:v>
      </x:c>
      <x:c r="E3" t="n">
        <x:v>12</x:v>
      </x:c>
      <x:c r="F3" t="n">
        <x:v>0.35</x:v>
      </x:c>
      <x:c r="G3" t="n">
        <x:v>16</x:v>
      </x:c>
      <x:c r="H3" t="n">
        <x:v>35</x:v>
      </x:c>
      <x:c r="I3" t="n">
        <x:f>Inputs!$B$5*B3</x:f>
        <x:v>36000</x:v>
      </x:c>
      <x:c r="J3" t="n">
        <x:f>I3*C3</x:f>
        <x:v>61200</x:v>
      </x:c>
      <x:c r="K3" t="n">
        <x:f>I3*D3/1000</x:f>
        <x:v>180</x:v>
      </x:c>
      <x:c r="L3" t="n">
        <x:f>I3*E3/1000</x:f>
        <x:v>432</x:v>
      </x:c>
      <x:c r="M3" t="n">
        <x:f>I3/1000*G3</x:f>
        <x:v>576</x:v>
      </x:c>
    </x:row>
    <x:row r="4" ht="22" customHeight="1">
      <x:c r="A4" t="str">
        <x:v>Atlantic salmon (saline)</x:v>
      </x:c>
      <x:c r="B4" t="n">
        <x:v>0.2</x:v>
      </x:c>
      <x:c r="C4" t="n">
        <x:v>1.2</x:v>
      </x:c>
      <x:c r="D4" t="n">
        <x:v>2</x:v>
      </x:c>
      <x:c r="E4" t="n">
        <x:v>6</x:v>
      </x:c>
      <x:c r="F4" t="n">
        <x:v>0.42</x:v>
      </x:c>
      <x:c r="G4" t="n">
        <x:v>26</x:v>
      </x:c>
      <x:c r="H4" t="n">
        <x:v>30</x:v>
      </x:c>
      <x:c r="I4" t="n">
        <x:f>Inputs!$B$5*B4</x:f>
        <x:v>24000</x:v>
      </x:c>
      <x:c r="J4" t="n">
        <x:f>I4*C4</x:f>
        <x:v>28800</x:v>
      </x:c>
      <x:c r="K4" t="n">
        <x:f>I4*D4/1000</x:f>
        <x:v>48</x:v>
      </x:c>
      <x:c r="L4" t="n">
        <x:f>I4*E4/1000</x:f>
        <x:v>144</x:v>
      </x:c>
      <x:c r="M4" t="n">
        <x:f>I4/1000*G4</x:f>
        <x:v>624</x:v>
      </x:c>
    </x:row>
    <x:row r="5" ht="22" customHeight="1">
      <x:c r="A5" t="str">
        <x:v>Trout (freshwater)</x:v>
      </x:c>
      <x:c r="B5" t="n">
        <x:v>0.1</x:v>
      </x:c>
      <x:c r="C5" t="n">
        <x:v>1.3</x:v>
      </x:c>
      <x:c r="D5" t="n">
        <x:v>1.5</x:v>
      </x:c>
      <x:c r="E5" t="n">
        <x:v>5</x:v>
      </x:c>
      <x:c r="F5" t="n">
        <x:v>0.42</x:v>
      </x:c>
      <x:c r="G5" t="n">
        <x:v>18</x:v>
      </x:c>
      <x:c r="H5" t="n">
        <x:v>28</x:v>
      </x:c>
      <x:c r="I5" t="n">
        <x:f>Inputs!$B$5*B5</x:f>
        <x:v>12000</x:v>
      </x:c>
      <x:c r="J5" t="n">
        <x:f>I5*C5</x:f>
        <x:v>15600</x:v>
      </x:c>
      <x:c r="K5" t="n">
        <x:f>I5*D5/1000</x:f>
        <x:v>18</x:v>
      </x:c>
      <x:c r="L5" t="n">
        <x:f>I5*E5/1000</x:f>
        <x:v>60</x:v>
      </x:c>
      <x:c r="M5" t="n">
        <x:f>I5/1000*G5</x:f>
        <x:v>216</x:v>
      </x:c>
    </x:row>
    <x:row r="6" ht="22" customHeight="1"/>
    <x:row r="7">
      <x:c r="A7" t="str">
        <x:v>Species-share total</x:v>
      </x:c>
      <x:c r="B7" t="n">
        <x:f>SUM(B2:B5)</x:f>
        <x:v>0.9999999999999999</x:v>
      </x:c>
    </x:row>
    <x:row r="8">
      <x:c r="A8" t="str">
        <x:v>Annual dry feed tonnes</x:v>
      </x:c>
      <x:c r="B8" t="n">
        <x:f>SUM(J2:J5)</x:f>
        <x:v>177600</x:v>
      </x:c>
    </x:row>
    <x:row r="9">
      <x:c r="A9" t="str">
        <x:v>RAS FTE lower</x:v>
      </x:c>
      <x:c r="B9" t="n">
        <x:f>SUM(M2:M5)</x:f>
        <x:v>1992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</x:cols>
  <x:sheetData>
    <x:row r="1" ht="29" customHeight="1">
      <x:c r="A1" s="3" t="str">
        <x:v>SCREENING MASS BALANCES</x:v>
      </x:c>
      <x:c r="B1" s="3" t="str">
        <x:v>Derived value</x:v>
      </x:c>
    </x:row>
    <x:row r="2" ht="22" customHeight="1">
      <x:c r="A2" t="str">
        <x:v>Greenhouse vegetable harvest (t)</x:v>
      </x:c>
      <x:c r="B2" t="n">
        <x:f>Inputs!$B$3*10000*Inputs!$B$4/1000</x:f>
        <x:v>250000</x:v>
      </x:c>
    </x:row>
    <x:row r="3" ht="22" customHeight="1">
      <x:c r="A3" t="str">
        <x:v>Wet plant residues (t)</x:v>
      </x:c>
      <x:c r="B3" t="n">
        <x:f>B2*Inputs!$B$9</x:f>
        <x:v>87500</x:v>
      </x:c>
    </x:row>
    <x:row r="4" ht="22" customHeight="1">
      <x:c r="A4" t="str">
        <x:v>Dry plant residues (t)</x:v>
      </x:c>
      <x:c r="B4" t="n">
        <x:f>B3*Inputs!$B$10</x:f>
        <x:v>10500</x:v>
      </x:c>
    </x:row>
    <x:row r="5" ht="22" customHeight="1">
      <x:c r="A5" t="str">
        <x:v>Sorted feed-grade dry residue (t)</x:v>
      </x:c>
      <x:c r="B5" t="n">
        <x:f>B4*Inputs!$B$11*Inputs!$B$12</x:f>
        <x:v>2730</x:v>
      </x:c>
    </x:row>
    <x:row r="6" ht="22" customHeight="1">
      <x:c r="A6" t="str">
        <x:v>Usable crop-pellet ingredient (t)</x:v>
      </x:c>
      <x:c r="B6" t="n">
        <x:f>MIN(B5,Species!B8*Inputs!$B$13)</x:f>
        <x:v>2730</x:v>
      </x:c>
    </x:row>
    <x:row r="7">
      <x:c r="A7" t="str">
        <x:v>Share of total complete feed (%)</x:v>
      </x:c>
      <x:c r="B7" t="n">
        <x:f>B6/Species!B8*100</x:f>
        <x:v>1.5371621621621623</x:v>
      </x:c>
    </x:row>
    <x:row r="8">
      <x:c r="A8" t="str">
        <x:v>Freshwater feed N (t)</x:v>
      </x:c>
      <x:c r="B8" t="n">
        <x:f>(Species!J2*Species!F2+Species!J3*Species!F3+Species!J5*Species!F5)*Inputs!$B$18</x:f>
        <x:v>8161.92</x:v>
      </x:c>
    </x:row>
    <x:row r="9">
      <x:c r="A9" t="str">
        <x:v>Recovered freshwater dissolved N (t)</x:v>
      </x:c>
      <x:c r="B9" t="n">
        <x:f>B8*Inputs!$B$14*Inputs!$B$15</x:f>
        <x:v>857.0015999999999</x:v>
      </x:c>
    </x:row>
    <x:row r="10">
      <x:c r="A10" t="str">
        <x:v>Greenhouse N requirement proxy (t)</x:v>
      </x:c>
      <x:c r="B10" t="n">
        <x:f>B2*0.003</x:f>
        <x:v>750</x:v>
      </x:c>
    </x:row>
    <x:row r="11">
      <x:c r="A11" t="str">
        <x:v>Salmon dry feed (t)</x:v>
      </x:c>
      <x:c r="B11" t="n">
        <x:f>Species!J4</x:f>
        <x:v>28800</x:v>
      </x:c>
    </x:row>
    <x:row r="12">
      <x:c r="A12" t="str">
        <x:v>Recovered saline N (t)</x:v>
      </x:c>
      <x:c r="B12" t="n">
        <x:f>B11*Species!F4*Inputs!$B$18*Inputs!$B$17*Inputs!$B$16</x:f>
        <x:v>232.24320000000003</x:v>
      </x:c>
    </x:row>
    <x:row r="13">
      <x:c r="A13" t="str">
        <x:v>Recovered saline P (t)</x:v>
      </x:c>
      <x:c r="B13" t="n">
        <x:f>B11*Inputs!$B$19*Inputs!$B$20*Inputs!$B$16</x:f>
        <x:v>46.080000000000005</x:v>
      </x:c>
    </x:row>
    <x:row r="14">
      <x:c r="A14" t="str">
        <x:v>Algae N/P-limited dry biomass (t)</x:v>
      </x:c>
      <x:c r="B14" t="n">
        <x:f>MIN(B12/Inputs!$B$21,B13/Inputs!$B$22)</x:f>
        <x:v>2903.0400000000004</x:v>
      </x:c>
    </x:row>
    <x:row r="15">
      <x:c r="A15" t="str">
        <x:v>Extracted algae oil theoretical maximum (t)</x:v>
      </x:c>
      <x:c r="B15" t="n">
        <x:f>B14*Inputs!$B$23*Inputs!$B$24</x:f>
        <x:v>508.03200000000004</x:v>
      </x:c>
    </x:row>
    <x:row r="16">
      <x:c r="A16" t="str">
        <x:v>Illustrative salmon algal oil inclusion (t)</x:v>
      </x:c>
      <x:c r="B16" t="n">
        <x:f>B11*Inputs!$B$25</x:f>
        <x:v>288</x:v>
      </x:c>
    </x:row>
    <x:row r="17">
      <x:c r="A17" t="str">
        <x:v>Algae sunlight land requirement (ha)</x:v>
      </x:c>
      <x:c r="B17" t="n">
        <x:f>B14*1000/(Inputs!$B$26/1000*Inputs!$B$27)/10000</x:f>
        <x:v>48.38400000000001</x:v>
      </x:c>
    </x:row>
    <x:row r="18">
      <x:c r="A18" t="str">
        <x:v>Additional algae auxiliaries (GWh)</x:v>
      </x:c>
      <x:c r="B18" t="n">
        <x:f>B14*Inputs!$B$28/1000</x:f>
        <x:v>8.70912</x:v>
      </x:c>
    </x:row>
    <x:row r="19">
      <x:c r="A19" t="str">
        <x:v>Wet berries subset (t)</x:v>
      </x:c>
      <x:c r="B19" t="n">
        <x:f>Inputs!$B$31*Inputs!$B$32</x:f>
        <x:v>4980.675</x:v>
      </x:c>
    </x:row>
    <x:row r="20">
      <x:c r="A20" t="str">
        <x:v>Dried berries (t)</x:v>
      </x:c>
      <x:c r="B20" t="n">
        <x:f>B19*Inputs!$B$33</x:f>
        <x:v>1095.7485000000001</x:v>
      </x:c>
    </x:row>
    <x:row r="21">
      <x:c r="A21" t="str">
        <x:v>Berry dryer heat (GWh)</x:v>
      </x:c>
      <x:c r="B21" t="n">
        <x:f>B19*Inputs!$B$34/1000</x:f>
        <x:v>7.969080000000001</x:v>
      </x:c>
    </x:row>
    <x:row r="22">
      <x:c r="A22" t="str">
        <x:v>Wet salmon to dryer (t)</x:v>
      </x:c>
      <x:c r="B22" t="n">
        <x:f>Species!I4*Inputs!$B$41</x:f>
        <x:v>2400</x:v>
      </x:c>
    </x:row>
    <x:row r="23">
      <x:c r="A23" t="str">
        <x:v>Dried salmon (t)</x:v>
      </x:c>
      <x:c r="B23" t="n">
        <x:f>B22*Inputs!$B$42</x:f>
        <x:v>840</x:v>
      </x:c>
    </x:row>
    <x:row r="24">
      <x:c r="A24" t="str">
        <x:v>Candied subset of dried salmon (t)</x:v>
      </x:c>
      <x:c r="B24" t="n">
        <x:f>B23*Inputs!$B$43</x:f>
        <x:v>252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</x:cols>
  <x:sheetData>
    <x:row r="1" ht="29" customHeight="1">
      <x:c r="A1" s="3" t="str">
        <x:v>Direct operating sector</x:v>
      </x:c>
      <x:c r="B1" s="3" t="str">
        <x:v>FTE low</x:v>
      </x:c>
      <x:c r="C1" s="3" t="str">
        <x:v>FTE high</x:v>
      </x:c>
    </x:row>
    <x:row r="2" ht="22" customHeight="1">
      <x:c r="A2" t="str">
        <x:v>Greenhouses</x:v>
      </x:c>
      <x:c r="B2" t="n">
        <x:f>Inputs!$B$3*Inputs!$B$29</x:f>
        <x:v>4000</x:v>
      </x:c>
      <x:c r="C2" t="n">
        <x:f>Inputs!$B$3*Inputs!$B$30</x:f>
        <x:v>9000</x:v>
      </x:c>
    </x:row>
    <x:row r="3" ht="22" customHeight="1">
      <x:c r="A3" t="str">
        <x:v>RAS aquaculture</x:v>
      </x:c>
      <x:c r="B3" t="n">
        <x:f>SUM(Species!M2:M5)</x:f>
        <x:v>1992</x:v>
      </x:c>
      <x:c r="C3" t="n">
        <x:f>SUMPRODUCT(Species!I2:I5,Species!H2:H5)/1000</x:f>
        <x:v>3468</x:v>
      </x:c>
    </x:row>
    <x:row r="4" ht="22" customHeight="1">
      <x:c r="A4" t="str">
        <x:v>Drying/processing</x:v>
      </x:c>
      <x:c r="B4" t="n">
        <x:f>(Inputs!$B$31+Circularity!B22)/1000*Inputs!$B$35</x:f>
        <x:v>123.6135</x:v>
      </x:c>
      <x:c r="C4" t="n">
        <x:f>(Inputs!$B$31+Circularity!B22)/1000*Inputs!$B$36</x:f>
        <x:v>370.8405</x:v>
      </x:c>
    </x:row>
    <x:row r="5" ht="22" customHeight="1">
      <x:c r="A5" t="str">
        <x:v>Algae + feed mill</x:v>
      </x:c>
      <x:c r="B5" t="n">
        <x:f>Inputs!$B$37+Inputs!$B$39</x:f>
        <x:v>35</x:v>
      </x:c>
      <x:c r="C5" t="n">
        <x:f>Inputs!$B$38+Inputs!$B$40</x:f>
        <x:v>140</x:v>
      </x:c>
    </x:row>
    <x:row r="6" ht="22" customHeight="1">
      <x:c r="A6" t="str">
        <x:v>TOTAL DIRECT</x:v>
      </x:c>
      <x:c r="B6" t="n">
        <x:f>SUM(B2:B5)</x:f>
        <x:v>6150.6135</x:v>
      </x:c>
      <x:c r="C6" t="n">
        <x:f>SUM(C2:C5)</x:f>
        <x:v>12978.8405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9" customHeight="1">
      <x:c r="A1" s="3" t="str">
        <x:v>scenario</x:v>
      </x:c>
      <x:c r="B1" s="3" t="str">
        <x:v>greenhouse_ha</x:v>
      </x:c>
      <x:c r="C1" s="3" t="str">
        <x:v>seafood_liveweight_t</x:v>
      </x:c>
      <x:c r="D1" s="3" t="str">
        <x:v>warmwater_share_pct</x:v>
      </x:c>
      <x:c r="E1" s="3" t="str">
        <x:v>annual_heat_demand_GWh</x:v>
      </x:c>
      <x:c r="F1" s="3" t="str">
        <x:v>minimum_total_extra_electricity_GWh</x:v>
      </x:c>
      <x:c r="G1" s="3" t="str">
        <x:v>feed_grade_plant_ingredient_t</x:v>
      </x:c>
      <x:c r="H1" s="3" t="str">
        <x:v>plant_ingredient_share_of_feed_pct</x:v>
      </x:c>
      <x:c r="I1" s="3" t="str">
        <x:v>annual_direct_FTE_low</x:v>
      </x:c>
      <x:c r="J1" s="3" t="str">
        <x:v>annual_direct_FTE_high</x:v>
      </x:c>
    </x:row>
    <x:row r="2" ht="22" customHeight="1">
      <x:c r="A2" t="str">
        <x:v>Demonstration</x:v>
      </x:c>
      <x:c r="B2" t="n">
        <x:v>100</x:v>
      </x:c>
      <x:c r="C2" t="n">
        <x:v>10000</x:v>
      </x:c>
      <x:c r="D2" t="n">
        <x:v>70</x:v>
      </x:c>
      <x:c r="E2" t="n">
        <x:v>489.445264</x:v>
      </x:c>
      <x:c r="F2" t="n">
        <x:v>174.05522995000004</x:v>
      </x:c>
      <x:c r="G2" t="n">
        <x:v>152.88</x:v>
      </x:c>
      <x:c r="H2" t="n">
        <x:v>1.032972972972973</x:v>
      </x:c>
      <x:c r="I2" t="n">
        <x:v>615.4454</x:v>
      </x:c>
      <x:c r="J2" t="n">
        <x:v>1348.3362</x:v>
      </x:c>
    </x:row>
    <x:row r="3" ht="22" customHeight="1">
      <x:c r="A3" t="str">
        <x:v>Regional</x:v>
      </x:c>
      <x:c r="B3" t="n">
        <x:v>300</x:v>
      </x:c>
      <x:c r="C3" t="n">
        <x:v>30000</x:v>
      </x:c>
      <x:c r="D3" t="n">
        <x:v>70</x:v>
      </x:c>
      <x:c r="E3" t="n">
        <x:v>1465.38816</x:v>
      </x:c>
      <x:c r="F3" t="n">
        <x:v>646.851736125</x:v>
      </x:c>
      <x:c r="G3" t="n">
        <x:v>655.2</x:v>
      </x:c>
      <x:c r="H3" t="n">
        <x:v>1.475675675675676</x:v>
      </x:c>
      <x:c r="I3" t="n">
        <x:v>1838.6135</x:v>
      </x:c>
      <x:c r="J3" t="n">
        <x:v>4023.8405000000002</x:v>
      </x:c>
    </x:row>
    <x:row r="4" ht="22" customHeight="1">
      <x:c r="A4" t="str">
        <x:v>Expansion</x:v>
      </x:c>
      <x:c r="B4" t="n">
        <x:v>1000</x:v>
      </x:c>
      <x:c r="C4" t="n">
        <x:v>120000</x:v>
      </x:c>
      <x:c r="D4" t="n">
        <x:v>70</x:v>
      </x:c>
      <x:c r="E4" t="n">
        <x:v>4913.73816</x:v>
      </x:c>
      <x:c r="F4" t="n">
        <x:v>3167.090138625</x:v>
      </x:c>
      <x:c r="G4" t="n">
        <x:v>2730</x:v>
      </x:c>
      <x:c r="H4" t="n">
        <x:v>1.537162162162162</x:v>
      </x:c>
      <x:c r="I4" t="n">
        <x:v>6150.6135</x:v>
      </x:c>
      <x:c r="J4" t="n">
        <x:v>12978.8405</x:v>
      </x:c>
    </x:row>
    <x:row r="5" ht="22" customHeight="1">
      <x:c r="A5" t="str">
        <x:v>Heat-intensive</x:v>
      </x:c>
      <x:c r="B5" t="n">
        <x:v>3000</x:v>
      </x:c>
      <x:c r="C5" t="n">
        <x:v>250000</x:v>
      </x:c>
      <x:c r="D5" t="n">
        <x:v>70</x:v>
      </x:c>
      <x:c r="E5" t="n">
        <x:v>14360.62632</x:v>
      </x:c>
      <x:c r="F5" t="n">
        <x:v>17597.35259975</x:v>
      </x:c>
      <x:c r="G5" t="n">
        <x:v>11466</x:v>
      </x:c>
      <x:c r="H5" t="n">
        <x:v>3.098918918918919</x:v>
      </x:c>
      <x:c r="I5" t="n">
        <x:v>16434.227</x:v>
      </x:c>
      <x:c r="J5" t="n">
        <x:v>35112.681</x:v>
      </x:c>
    </x:row>
    <x:row r="6" ht="22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5" hidden="0" customWidth="1"/>
    <x:col min="3" max="3" width="50" hidden="0" customWidth="1"/>
  </x:cols>
  <x:sheetData>
    <x:row r="1" ht="29" customHeight="1">
      <x:c r="A1" s="3" t="str">
        <x:v>Input category</x:v>
      </x:c>
      <x:c r="B1" s="3" t="str">
        <x:v>Source URL</x:v>
      </x:c>
      <x:c r="C1" s="3" t="str">
        <x:v>Treatment</x:v>
      </x:c>
    </x:row>
    <x:row r="2" ht="22" customHeight="1">
      <x:c r="A2" t="str">
        <x:v>B.C. greenhouse output</x:v>
      </x:c>
      <x:c r="B2" t="str">
        <x:v>https://agriculture.canada.ca/en/sector/horticulture/reports/statistical-overview-canadian-greenhouse-vegetable-and-mushroom-industry-2024</x:v>
      </x:c>
      <x:c r="C2" t="str">
        <x:v>Published 2024 provincial measurement</x:v>
      </x:c>
    </x:row>
    <x:row r="3" ht="22" customHeight="1">
      <x:c r="A3" t="str">
        <x:v>B.C. fruit production</x:v>
      </x:c>
      <x:c r="B3" t="str">
        <x:v>https://agriculture.canada.ca/en/sector/horticulture/reports/statistical-overview-canadian-fruit-industry-2024</x:v>
      </x:c>
      <x:c r="C3" t="str">
        <x:v>2024 harvest is NOT unsold fruit</x:v>
      </x:c>
    </x:row>
    <x:row r="4" ht="22" customHeight="1">
      <x:c r="A4" t="str">
        <x:v>RAS jobs</x:v>
      </x:c>
      <x:c r="B4" t="str">
        <x:v>https://www.dfo-mpo.gc.ca/aquaculture/publications/ssat-ets-eng.html</x:v>
      </x:c>
      <x:c r="C4" t="str">
        <x:v>Salmon 26–30 direct jobs per 1000t projected</x:v>
      </x:c>
    </x:row>
    <x:row r="5" ht="22" customHeight="1">
      <x:c r="A5" t="str">
        <x:v>Greenhouse employees</x:v>
      </x:c>
      <x:c r="B5" t="str">
        <x:v>https://www150.statcan.gc.ca/t1/tbl1/en/tv.action?pid=3210002801</x:v>
      </x:c>
      <x:c r="C5" t="str">
        <x:v>2023 national employees, not FTE</x:v>
      </x:c>
    </x:row>
    <x:row r="6" ht="22" customHeight="1">
      <x:c r="A6" t="str">
        <x:v>Tilapia growth</x:v>
      </x:c>
      <x:c r="B6" t="str">
        <x:v>https://www.fao.org/4/T8389E/T8389E10.htm</x:v>
      </x:c>
      <x:c r="C6" t="str">
        <x:v>Temperature physiological benchmark</x:v>
      </x:c>
    </x:row>
    <x:row r="7">
      <x:c r="A7" t="str">
        <x:v>Prawn grow-out</x:v>
      </x:c>
      <x:c r="B7" t="str">
        <x:v>https://www.fao.org/4/y4100e/y4100e04.htm</x:v>
      </x:c>
      <x:c r="C7" t="str">
        <x:v>Grow-out 28–31C; brackish larvae</x:v>
      </x:c>
    </x:row>
    <x:row r="8">
      <x:c r="A8" t="str">
        <x:v>PBR nutrient treatment</x:v>
      </x:c>
      <x:c r="B8" t="str">
        <x:v>https://doi.org/10.1016/j.ces.2026.123704</x:v>
      </x:c>
      <x:c r="C8" t="str">
        <x:v>Laboratory result, not scaled process</x:v>
      </x:c>
    </x:row>
    <x:row r="9">
      <x:c r="A9" t="str">
        <x:v>Aquaponic sanitation</x:v>
      </x:c>
      <x:c r="B9" t="str">
        <x:v>https://doi.org/10.1016/j.aquaculture.2019.02.009</x:v>
      </x:c>
      <x:c r="C9" t="str">
        <x:v>Biosecurity issue</x:v>
      </x:c>
    </x:row>
    <x:row r="10">
      <x:c r="A10" t="str">
        <x:v>Marine algae salmon diets</x:v>
      </x:c>
      <x:c r="B10" t="str">
        <x:v>https://doi.org/10.1016/j.aquaculture.2022.738084</x:v>
      </x:c>
      <x:c r="C10" t="str">
        <x:v>EPA+DHA possible, species-specific</x:v>
      </x:c>
    </x:row>
    <x:row r="11">
      <x:c r="A11" t="str">
        <x:v>Feed regulation</x:v>
      </x:c>
      <x:c r="B11" t="str">
        <x:v>https://inspection.canada.ca/en/animal-health/livestock-feeds/regulatory-guidance/rg-1/chapter-3</x:v>
      </x:c>
      <x:c r="C11" t="str">
        <x:v>Feed inputs require safety/approvals</x:v>
      </x:c>
    </x:row>
    <x:row r="12">
      <x:c r="A12" t="str">
        <x:v>Evidence limits</x:v>
      </x:c>
      <x:c r="B12" t="str">
        <x:v>Embedded paper methodology</x:v>
      </x:c>
      <x:c r="C12" t="str">
        <x:v>No commercial permits, earnings, contaminant tests or guaranteed jobs</x:v>
      </x:c>
    </x:row>
  </x:sheetData>
  <x:pageMargins left="0.7" right="0.7" top="0.75" bottom="0.75" header="0.3" footer="0.3"/>
</x:worksheet>
</file>