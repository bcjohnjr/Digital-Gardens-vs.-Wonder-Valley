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49d72ca1a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table Inputs" sheetId="1" r:id="R30de8e7adb8c440b"/>
    <x:sheet xmlns:r="http://schemas.openxmlformats.org/officeDocument/2006/relationships" name="Two-phase Benefits" sheetId="2" r:id="R19d833fe1003466e"/>
    <x:sheet xmlns:r="http://schemas.openxmlformats.org/officeDocument/2006/relationships" name="PUE Utilisation" sheetId="3" r:id="R71f190a5e948490b"/>
    <x:sheet xmlns:r="http://schemas.openxmlformats.org/officeDocument/2006/relationships" name="Food Entitlement Summary" sheetId="4" r:id="R62e9c4381d4f4d42"/>
    <x:sheet xmlns:r="http://schemas.openxmlformats.org/officeDocument/2006/relationships" name="Sources and limits" sheetId="5" r:id="R9d85aeb4064c410e"/>
    <x:sheet xmlns:r="http://schemas.openxmlformats.org/officeDocument/2006/relationships" name="Farm Coefficients" sheetId="6" r:id="R348a883ad69b4690"/>
    <x:sheet xmlns:r="http://schemas.openxmlformats.org/officeDocument/2006/relationships" name="RD Agriculture" sheetId="7" r:id="Rd44c44f2537e452e"/>
    <x:sheet xmlns:r="http://schemas.openxmlformats.org/officeDocument/2006/relationships" name="17 Community Allocation" sheetId="8" r:id="R4793a9129dc74c76"/>
    <x:sheet xmlns:r="http://schemas.openxmlformats.org/officeDocument/2006/relationships" name="Fuel Sensitivity" sheetId="9" r:id="Rbaf445e292f44dbd"/>
    <x:sheet xmlns:r="http://schemas.openxmlformats.org/officeDocument/2006/relationships" name="Agricultural Summary" sheetId="10" r:id="Rfc0baaee55eb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%"/>
    <x:numFmt numFmtId="165" formatCode="#,##0.00;[Red](#,##0.00);-"/>
    <x:numFmt numFmtId="166" formatCode="#,##0.0"/>
    <x:numFmt numFmtId="167" formatCode="$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color rgb="FFFFFFFF"/>
    </x:font>
    <x:font>
      <x:b/>
    </x:font>
  </x:fonts>
  <x:fills count="8">
    <x:fill>
      <x:patternFill patternType="none"/>
    </x:fill>
    <x:fill>
      <x:patternFill patternType="gray125"/>
    </x:fill>
    <x:fill>
      <x:patternFill patternType="solid">
        <x:fgColor rgb="FFDCEBF5"/>
      </x:patternFill>
    </x:fill>
    <x:fill>
      <x:patternFill patternType="solid">
        <x:fgColor rgb="FFEAF4F1"/>
      </x:patternFill>
    </x:fill>
    <x:fill>
      <x:patternFill patternType="solid">
        <x:fgColor rgb="FF123052"/>
      </x:patternFill>
    </x:fill>
    <x:fill>
      <x:patternFill patternType="solid">
        <x:fgColor rgb="FF17334C"/>
      </x:patternFill>
    </x:fill>
    <x:fill>
      <x:patternFill patternType="solid">
        <x:fgColor rgb="FFEFF4F8"/>
      </x:patternFill>
    </x:fill>
    <x:fill>
      <x:patternFill patternType="solid">
        <x:fgColor rgb="FFDDF2E7"/>
      </x:patternFill>
    </x:fill>
  </x:fills>
  <x:borders count="2">
    <x:border/>
    <x:border/>
  </x:borders>
  <x:cellStyleXfs count="1">
    <x:xf numFmtId="0" fontId="0" fillId="0" borderId="1"/>
  </x:cellStyleXfs>
  <x:cellXfs count="53">
    <x:xf numFmtId="0" fontId="0" fillId="0" borderId="0" xfId="0"/>
    <x:xf numFmtId="0" fontId="0" fillId="0" borderId="1" xfId="0"/>
    <x:xf numFmtId="164" fontId="0" fillId="0" borderId="0" xfId="0"/>
    <x:xf numFmtId="164" fontId="0" fillId="0" borderId="1" xfId="0"/>
    <x:xf numFmtId="0" fontId="0" fillId="2" borderId="0" xfId="0"/>
    <x:xf numFmtId="0" fontId="0" fillId="2" borderId="1" xfId="0"/>
    <x:xf numFmtId="0" fontId="0" fillId="3" borderId="0" xfId="0"/>
    <x:xf numFmtId="0" fontId="0" fillId="3" borderId="1" xfId="0"/>
    <x:xf numFmtId="0" fontId="0" fillId="4" borderId="0" xfId="0"/>
    <x:xf numFmtId="0" fontId="1" fillId="4" borderId="0" xfId="0"/>
    <x:xf numFmtId="0" fontId="0" fillId="4" borderId="1" xfId="0"/>
    <x:xf numFmtId="0" fontId="1" fillId="4" borderId="1" xfId="0"/>
    <x:xf numFmtId="0" fontId="2" fillId="0" borderId="0" xfId="0"/>
    <x:xf numFmtId="0" fontId="2" fillId="3" borderId="0" xfId="0"/>
    <x:xf numFmtId="164" fontId="2" fillId="0" borderId="0" xfId="0"/>
    <x:xf numFmtId="0" fontId="2" fillId="0" borderId="1" xfId="0"/>
    <x:xf numFmtId="0" fontId="2" fillId="3" borderId="1" xfId="0"/>
    <x:xf numFmtId="164" fontId="2" fillId="0" borderId="1" xfId="0"/>
    <x:xf numFmtId="165" fontId="0" fillId="0" borderId="0" xfId="0"/>
    <x:xf numFmtId="165" fontId="0" fillId="2" borderId="0" xfId="0"/>
    <x:xf numFmtId="165" fontId="0" fillId="3" borderId="0" xfId="0"/>
    <x:xf numFmtId="165" fontId="0" fillId="0" borderId="1" xfId="0"/>
    <x:xf numFmtId="165" fontId="0" fillId="2" borderId="1" xfId="0"/>
    <x:xf numFmtId="165" fontId="0" fillId="3" borderId="1" xfId="0"/>
    <x:xf numFmtId="165" fontId="0" fillId="0" borderId="0" xfId="0"/>
    <x:xf numFmtId="165" fontId="0" fillId="2" borderId="0" xfId="0"/>
    <x:xf numFmtId="165" fontId="0" fillId="3" borderId="0" xfId="0"/>
    <x:xf numFmtId="164" fontId="0" fillId="0" borderId="0" xfId="0"/>
    <x:xf numFmtId="164" fontId="2" fillId="0" borderId="0" xfId="0"/>
    <x:xf numFmtId="0" fontId="3" fillId="5" borderId="0" xfId="0" applyAlignment="1">
      <x:alignment vertical="center" wrapText="1"/>
    </x:xf>
    <x:xf numFmtId="0" fontId="0" fillId="6" borderId="0" xfId="0" applyAlignment="1">
      <x:alignment vertical="top"/>
    </x:xf>
    <x:xf numFmtId="4" fontId="0" fillId="6" borderId="0" xfId="0" applyAlignment="1">
      <x:alignment vertical="top"/>
    </x:xf>
    <x:xf numFmtId="0" fontId="0" fillId="0" borderId="0" xfId="0" applyAlignment="1">
      <x:alignment vertical="top"/>
    </x:xf>
    <x:xf numFmtId="4" fontId="0" fillId="0" borderId="0" xfId="0" applyAlignment="1">
      <x:alignment vertical="top"/>
    </x:xf>
    <x:xf numFmtId="166" fontId="0" fillId="6" borderId="0" xfId="0" applyAlignment="1">
      <x:alignment vertical="top"/>
    </x:xf>
    <x:xf numFmtId="166" fontId="0" fillId="6" borderId="0" xfId="0" applyAlignment="1">
      <x:alignment vertical="top" wrapText="1"/>
    </x:xf>
    <x:xf numFmtId="0" fontId="0" fillId="6" borderId="0" xfId="0" applyAlignment="1">
      <x:alignment vertical="top" wrapText="1"/>
    </x:xf>
    <x:xf numFmtId="166" fontId="0" fillId="0" borderId="0" xfId="0" applyAlignment="1">
      <x:alignment vertical="top"/>
    </x:xf>
    <x:xf numFmtId="166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4" fillId="7" borderId="0" xfId="0" applyAlignment="1">
      <x:alignment vertical="top"/>
    </x:xf>
    <x:xf numFmtId="166" fontId="4" fillId="7" borderId="0" xfId="0" applyAlignment="1">
      <x:alignment vertical="top"/>
    </x:xf>
    <x:xf numFmtId="166" fontId="4" fillId="7" borderId="0" xfId="0" applyAlignment="1">
      <x:alignment vertical="top" wrapText="1"/>
    </x:xf>
    <x:xf numFmtId="0" fontId="4" fillId="7" borderId="0" xfId="0" applyAlignment="1">
      <x:alignment vertical="top" wrapText="1"/>
    </x:xf>
    <x:xf numFmtId="9" fontId="0" fillId="6" borderId="0" xfId="0" applyAlignment="1">
      <x:alignment vertical="top"/>
    </x:xf>
    <x:xf numFmtId="3" fontId="0" fillId="6" borderId="0" xfId="0" applyAlignment="1">
      <x:alignment vertical="top"/>
    </x:xf>
    <x:xf numFmtId="167" fontId="0" fillId="6" borderId="0" xfId="0" applyAlignment="1">
      <x:alignment vertical="top"/>
    </x:xf>
    <x:xf numFmtId="9" fontId="0" fillId="0" borderId="0" xfId="0" applyAlignment="1">
      <x:alignment vertical="top"/>
    </x:xf>
    <x:xf numFmtId="3" fontId="0" fillId="0" borderId="0" xfId="0" applyAlignment="1">
      <x:alignment vertical="top"/>
    </x:xf>
    <x:xf numFmtId="167" fontId="0" fillId="0" borderId="0" xfId="0" applyAlignment="1">
      <x:alignment vertical="top"/>
    </x:xf>
    <x:xf numFmtId="9" fontId="4" fillId="7" borderId="0" xfId="0" applyAlignment="1">
      <x:alignment vertical="top"/>
    </x:xf>
    <x:xf numFmtId="3" fontId="4" fillId="7" borderId="0" xfId="0" applyAlignment="1">
      <x:alignment vertical="top"/>
    </x:xf>
    <x:xf numFmtId="167" fontId="4" fillId="7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e4872b8b64b6b" /><Relationship Type="http://schemas.openxmlformats.org/officeDocument/2006/relationships/theme" Target="/xl/theme/theme1.xml" Id="Reaf131a8a93543c1" /><Relationship Type="http://schemas.openxmlformats.org/officeDocument/2006/relationships/sharedStrings" Target="/xl/sharedStrings.xml" Id="Rdaed8f3abf744eca" /><Relationship Type="http://schemas.openxmlformats.org/officeDocument/2006/relationships/worksheet" Target="/xl/worksheets/sheet1.xml" Id="R30de8e7adb8c440b" /><Relationship Type="http://schemas.openxmlformats.org/officeDocument/2006/relationships/worksheet" Target="/xl/worksheets/sheet2.xml" Id="R19d833fe1003466e" /><Relationship Type="http://schemas.openxmlformats.org/officeDocument/2006/relationships/worksheet" Target="/xl/worksheets/sheet3.xml" Id="R71f190a5e948490b" /><Relationship Type="http://schemas.openxmlformats.org/officeDocument/2006/relationships/worksheet" Target="/xl/worksheets/sheet4.xml" Id="R62e9c4381d4f4d42" /><Relationship Type="http://schemas.openxmlformats.org/officeDocument/2006/relationships/worksheet" Target="/xl/worksheets/sheet5.xml" Id="R9d85aeb4064c410e" /><Relationship Type="http://schemas.openxmlformats.org/officeDocument/2006/relationships/worksheet" Target="/xl/worksheets/sheet6.xml" Id="R348a883ad69b4690" /><Relationship Type="http://schemas.openxmlformats.org/officeDocument/2006/relationships/worksheet" Target="/xl/worksheets/sheet7.xml" Id="Rd44c44f2537e452e" /><Relationship Type="http://schemas.openxmlformats.org/officeDocument/2006/relationships/worksheet" Target="/xl/worksheets/sheet8.xml" Id="R4793a9129dc74c76" /><Relationship Type="http://schemas.openxmlformats.org/officeDocument/2006/relationships/worksheet" Target="/xl/worksheets/sheet9.xml" Id="Rbaf445e292f44dbd" /><Relationship Type="http://schemas.openxmlformats.org/officeDocument/2006/relationships/worksheet" Target="/xl/worksheets/sheet10.xml" Id="Rfc0baaee55eb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0" customWidth="1"/>
    <x:col min="2" max="2" width="16" customWidth="1"/>
    <x:col min="3" max="3" width="25" customWidth="1"/>
    <x:col min="4" max="4" width="48" customWidth="1"/>
  </x:cols>
  <x:sheetData>
    <x:row r="1" ht="28" customHeight="1">
      <x:c r="A1" s="9" t="inlineStr">
        <x:is>
          <x:t xml:space="preserve">INPUT / ASSUMPTION</x:t>
        </x:is>
      </x:c>
      <x:c r="B1" s="9" t="inlineStr">
        <x:is>
          <x:t xml:space="preserve">VALUE</x:t>
        </x:is>
      </x:c>
      <x:c r="C1" s="9" t="inlineStr">
        <x:is>
          <x:t xml:space="preserve">UNIT</x:t>
        </x:is>
      </x:c>
      <x:c r="D1" s="9" t="inlineStr">
        <x:is>
          <x:t xml:space="preserve">EVIDENCE STATUS</x:t>
        </x:is>
      </x:c>
    </x:row>
    <x:row r="2">
      <x:c r="A2" t="inlineStr">
        <x:is>
          <x:t xml:space="preserve">Two-phase cumulative residents</x:t>
        </x:is>
      </x:c>
      <x:c r="B2" t="n">
        <x:v>787934</x:v>
      </x:c>
      <x:c r="C2" t="inlineStr">
        <x:is>
          <x:t xml:space="preserve">people</x:t>
        </x:is>
      </x:c>
      <x:c r="D2" t="inlineStr">
        <x:is>
          <x:t xml:space="preserve">Author supplied planning population</x:t>
        </x:is>
      </x:c>
    </x:row>
    <x:row r="3">
      <x:c r="A3" t="inlineStr">
        <x:is>
          <x:t xml:space="preserve">Phase 1 fraction</x:t>
        </x:is>
      </x:c>
      <x:c r="B3" t="n">
        <x:v>0.5</x:v>
      </x:c>
      <x:c r="C3" t="inlineStr">
        <x:is>
          <x:t xml:space="preserve">fraction</x:t>
        </x:is>
      </x:c>
      <x:c r="D3" t="inlineStr">
        <x:is>
          <x:t xml:space="preserve">50% assumed; phase breakdown unverified</x:t>
        </x:is>
      </x:c>
    </x:row>
    <x:row r="4">
      <x:c r="A4" t="inlineStr">
        <x:is>
          <x:t xml:space="preserve">Residents per household</x:t>
        </x:is>
      </x:c>
      <x:c r="B4" t="n">
        <x:v>2.4</x:v>
      </x:c>
      <x:c r="C4" t="inlineStr">
        <x:is>
          <x:t xml:space="preserve">persons</x:t>
        </x:is>
      </x:c>
      <x:c r="D4" t="inlineStr">
        <x:is>
          <x:t xml:space="preserve">Statistics Canada B.C. 2021 census</x:t>
        </x:is>
      </x:c>
    </x:row>
    <x:row r="5">
      <x:c r="A5" t="inlineStr">
        <x:is>
          <x:t xml:space="preserve">Vehicle provision eligibility</x:t>
        </x:is>
      </x:c>
      <x:c r="B5" t="n">
        <x:v>0.9</x:v>
      </x:c>
      <x:c r="C5" t="inlineStr">
        <x:is>
          <x:t xml:space="preserve">share of households</x:t>
        </x:is>
      </x:c>
      <x:c r="D5" t="inlineStr">
        <x:is>
          <x:t xml:space="preserve">Hypothetical optional provision</x:t>
        </x:is>
      </x:c>
    </x:row>
    <x:row r="6">
      <x:c r="A6" t="inlineStr">
        <x:is>
          <x:t xml:space="preserve">Acquisition cost per EV</x:t>
        </x:is>
      </x:c>
      <x:c r="B6" t="n">
        <x:v>38000</x:v>
      </x:c>
      <x:c r="C6" t="inlineStr">
        <x:is>
          <x:t xml:space="preserve">CAD</x:t>
        </x:is>
      </x:c>
      <x:c r="D6" t="inlineStr">
        <x:is>
          <x:t xml:space="preserve">Illustrative; not a vendor quote</x:t>
        </x:is>
      </x:c>
    </x:row>
    <x:row r="7">
      <x:c r="A7" t="inlineStr">
        <x:is>
          <x:t xml:space="preserve">Replacement cycle</x:t>
        </x:is>
      </x:c>
      <x:c r="B7" t="n">
        <x:v>12</x:v>
      </x:c>
      <x:c r="C7" t="inlineStr">
        <x:is>
          <x:t xml:space="preserve">years</x:t>
        </x:is>
      </x:c>
      <x:c r="D7" t="inlineStr">
        <x:is>
          <x:t xml:space="preserve">Illustrative</x:t>
        </x:is>
      </x:c>
    </x:row>
    <x:row r="8">
      <x:c r="A8" t="inlineStr">
        <x:is>
          <x:t xml:space="preserve">Vehicle financing rate</x:t>
        </x:is>
      </x:c>
      <x:c r="B8" t="n">
        <x:v>0.05</x:v>
      </x:c>
      <x:c r="C8" t="inlineStr">
        <x:is>
          <x:t xml:space="preserve">annual fraction</x:t>
        </x:is>
      </x:c>
      <x:c r="D8" t="inlineStr">
        <x:is>
          <x:t xml:space="preserve">Illustrative</x:t>
        </x:is>
      </x:c>
    </x:row>
    <x:row r="9">
      <x:c r="A9" t="inlineStr">
        <x:is>
          <x:t xml:space="preserve">Free EV charging participation</x:t>
        </x:is>
      </x:c>
      <x:c r="B9" t="n">
        <x:v>0.85</x:v>
      </x:c>
      <x:c r="C9" t="inlineStr">
        <x:is>
          <x:t xml:space="preserve">share of households</x:t>
        </x:is>
      </x:c>
      <x:c r="D9" t="inlineStr">
        <x:is>
          <x:t xml:space="preserve">Illustrative</x:t>
        </x:is>
      </x:c>
    </x:row>
    <x:row r="10">
      <x:c r="A10" t="inlineStr">
        <x:is>
          <x:t xml:space="preserve">Annual distance</x:t>
        </x:is>
      </x:c>
      <x:c r="B10" t="n">
        <x:v>12000</x:v>
      </x:c>
      <x:c r="C10" t="inlineStr">
        <x:is>
          <x:t xml:space="preserve">km per EV</x:t>
        </x:is>
      </x:c>
      <x:c r="D10" t="inlineStr">
        <x:is>
          <x:t xml:space="preserve">Illustrative</x:t>
        </x:is>
      </x:c>
    </x:row>
    <x:row r="11">
      <x:c r="A11" t="inlineStr">
        <x:is>
          <x:t xml:space="preserve">EV energy at battery</x:t>
        </x:is>
      </x:c>
      <x:c r="B11" t="n">
        <x:v>0.19</x:v>
      </x:c>
      <x:c r="C11" t="inlineStr">
        <x:is>
          <x:t xml:space="preserve">kWh/km</x:t>
        </x:is>
      </x:c>
      <x:c r="D11" t="inlineStr">
        <x:is>
          <x:t xml:space="preserve">Illustrative</x:t>
        </x:is>
      </x:c>
    </x:row>
    <x:row r="12">
      <x:c r="A12" t="inlineStr">
        <x:is>
          <x:t xml:space="preserve">Charging losses</x:t>
        </x:is>
      </x:c>
      <x:c r="B12" t="n">
        <x:v>0.1</x:v>
      </x:c>
      <x:c r="C12" t="inlineStr">
        <x:is>
          <x:t xml:space="preserve">fraction of metered energy</x:t>
        </x:is>
      </x:c>
      <x:c r="D12" t="inlineStr">
        <x:is>
          <x:t xml:space="preserve">Illustrative; charger electricity / (1-loss)</x:t>
        </x:is>
      </x:c>
    </x:row>
    <x:row r="13">
      <x:c r="A13" t="inlineStr">
        <x:is>
          <x:t xml:space="preserve">Equivalent public charging value</x:t>
        </x:is>
      </x:c>
      <x:c r="B13" t="n">
        <x:v>0.35</x:v>
      </x:c>
      <x:c r="C13" t="inlineStr">
        <x:is>
          <x:t xml:space="preserve">CAD/kWh</x:t>
        </x:is>
      </x:c>
      <x:c r="D13" t="inlineStr">
        <x:is>
          <x:t xml:space="preserve">Illustrative between B.C. Hydro 2026 charger rates</x:t>
        </x:is>
      </x:c>
    </x:row>
    <x:row r="14">
      <x:c r="A14" t="inlineStr">
        <x:is>
          <x:t xml:space="preserve">Electricity procurement cost</x:t>
        </x:is>
      </x:c>
      <x:c r="B14" t="n">
        <x:v>0.14</x:v>
      </x:c>
      <x:c r="C14" t="inlineStr">
        <x:is>
          <x:t xml:space="preserve">CAD/kWh</x:t>
        </x:is>
      </x:c>
      <x:c r="D14" t="inlineStr">
        <x:is>
          <x:t xml:space="preserve">Illustrative not a regulated tariff</x:t>
        </x:is>
      </x:c>
    </x:row>
    <x:row r="15">
      <x:c r="A15" t="inlineStr">
        <x:is>
          <x:t xml:space="preserve">Charger operating/maintenance cost</x:t>
        </x:is>
      </x:c>
      <x:c r="B15" t="n">
        <x:v>0.05</x:v>
      </x:c>
      <x:c r="C15" t="inlineStr">
        <x:is>
          <x:t xml:space="preserve">CAD/kWh</x:t>
        </x:is>
      </x:c>
      <x:c r="D15" t="inlineStr">
        <x:is>
          <x:t xml:space="preserve">Illustrative</x:t>
        </x:is>
      </x:c>
    </x:row>
    <x:row r="16">
      <x:c r="A16" t="inlineStr">
        <x:is>
          <x:t xml:space="preserve">Simultaneous charging share</x:t>
        </x:is>
      </x:c>
      <x:c r="B16" t="n">
        <x:v>0.06</x:v>
      </x:c>
      <x:c r="C16" t="inlineStr">
        <x:is>
          <x:t xml:space="preserve">fraction of enrolled EVs</x:t>
        </x:is>
      </x:c>
      <x:c r="D16" t="inlineStr">
        <x:is>
          <x:t xml:space="preserve">Illustrative coincidence proxy</x:t>
        </x:is>
      </x:c>
    </x:row>
    <x:row r="17">
      <x:c r="A17" t="inlineStr">
        <x:is>
          <x:t xml:space="preserve">AC charger nominal power</x:t>
        </x:is>
      </x:c>
      <x:c r="B17" t="n">
        <x:v>7.2</x:v>
      </x:c>
      <x:c r="C17" t="inlineStr">
        <x:is>
          <x:t xml:space="preserve">kW/charger</x:t>
        </x:is>
      </x:c>
      <x:c r="D17" t="inlineStr">
        <x:is>
          <x:t xml:space="preserve">Illustrative</x:t>
        </x:is>
      </x:c>
    </x:row>
    <x:row r="18">
      <x:c r="A18" t="inlineStr">
        <x:is>
          <x:t xml:space="preserve">Greenhouse production</x:t>
        </x:is>
      </x:c>
      <x:c r="B18" t="n">
        <x:v>250000</x:v>
      </x:c>
      <x:c r="C18" t="inlineStr">
        <x:is>
          <x:t xml:space="preserve">tonnes/year</x:t>
        </x:is>
      </x:c>
      <x:c r="D18" t="inlineStr">
        <x:is>
          <x:t xml:space="preserve">Expansion scenario model</x:t>
        </x:is>
      </x:c>
    </x:row>
    <x:row r="19">
      <x:c r="A19" t="inlineStr">
        <x:is>
          <x:t xml:space="preserve">Guaranteed fresh produce per resident</x:t>
        </x:is>
      </x:c>
      <x:c r="B19" t="n">
        <x:v>146</x:v>
      </x:c>
      <x:c r="C19" t="inlineStr">
        <x:is>
          <x:t xml:space="preserve">kg/resident/year</x:t>
        </x:is>
      </x:c>
      <x:c r="D19" t="inlineStr">
        <x:is>
          <x:t xml:space="preserve">Author-specified annual in-kind entitlement; full uptake assumed</x:t>
        </x:is>
      </x:c>
    </x:row>
    <x:row r="20">
      <x:c r="A20" t="inlineStr">
        <x:is>
          <x:t xml:space="preserve">Greenhouse retail-equivalent price</x:t>
        </x:is>
      </x:c>
      <x:c r="B20" t="n">
        <x:v>3.5</x:v>
      </x:c>
      <x:c r="C20" t="inlineStr">
        <x:is>
          <x:t xml:space="preserve">CAD/kg</x:t>
        </x:is>
      </x:c>
      <x:c r="D20" t="inlineStr">
        <x:is>
          <x:t xml:space="preserve">Illustrative</x:t>
        </x:is>
      </x:c>
    </x:row>
    <x:row r="21">
      <x:c r="A21" t="inlineStr">
        <x:is>
          <x:t xml:space="preserve">Seafood production</x:t>
        </x:is>
      </x:c>
      <x:c r="B21" t="n">
        <x:v>120000</x:v>
      </x:c>
      <x:c r="C21" t="inlineStr">
        <x:is>
          <x:t xml:space="preserve">tonnes/year</x:t>
        </x:is>
      </x:c>
      <x:c r="D21" t="inlineStr">
        <x:is>
          <x:t xml:space="preserve">Expansion scenario model</x:t>
        </x:is>
      </x:c>
    </x:row>
    <x:row r="22">
      <x:c r="A22" t="inlineStr">
        <x:is>
          <x:t xml:space="preserve">Guaranteed seafood per resident</x:t>
        </x:is>
      </x:c>
      <x:c r="B22" t="n">
        <x:v>46</x:v>
      </x:c>
      <x:c r="C22" t="inlineStr">
        <x:is>
          <x:t xml:space="preserve">kg/resident/year</x:t>
        </x:is>
      </x:c>
      <x:c r="D22" t="inlineStr">
        <x:is>
          <x:t xml:space="preserve">Author-specified annual in-kind entitlement; full uptake assumed</x:t>
        </x:is>
      </x:c>
    </x:row>
    <x:row r="23">
      <x:c r="A23" t="inlineStr">
        <x:is>
          <x:t xml:space="preserve">Seafood retail-equivalent price</x:t>
        </x:is>
      </x:c>
      <x:c r="B23" t="n">
        <x:v>7</x:v>
      </x:c>
      <x:c r="C23" t="inlineStr">
        <x:is>
          <x:t xml:space="preserve">CAD/kg</x:t>
        </x:is>
      </x:c>
      <x:c r="D23" t="inlineStr">
        <x:is>
          <x:t xml:space="preserve">Illustrative</x:t>
        </x:is>
      </x:c>
    </x:row>
    <x:row r="24">
      <x:c r="A24" t="inlineStr">
        <x:is>
          <x:t xml:space="preserve">Food fulfilment cost fraction</x:t>
        </x:is>
      </x:c>
      <x:c r="B24" t="n">
        <x:v>0.65</x:v>
      </x:c>
      <x:c r="C24" t="inlineStr">
        <x:is>
          <x:t xml:space="preserve">fraction of market value</x:t>
        </x:is>
      </x:c>
      <x:c r="D24" t="inlineStr">
        <x:is>
          <x:t xml:space="preserve">Illustrative, not audited</x:t>
        </x:is>
      </x:c>
    </x:row>
    <x:row r="25">
      <x:c r="A25" t="inlineStr">
        <x:is>
          <x:t xml:space="preserve">Eligible agricultural fuel (8 regional district baseline)</x:t>
        </x:is>
      </x:c>
      <x:c r="B25" t="n">
        <x:f>'RD Agriculture'!L10</x:f>
        <x:v>18690499.5</x:v>
      </x:c>
      <x:c r="C25" t="inlineStr">
        <x:is>
          <x:t xml:space="preserve">L/year</x:t>
        </x:is>
      </x:c>
      <x:c r="D25" t="str">
        <x:v>Eight complete census districts; modeled machinery fuel only; NOT observed litres or municipal purchases</x:v>
      </x:c>
    </x:row>
    <x:row r="26">
      <x:c r="A26" t="inlineStr">
        <x:is>
          <x:t xml:space="preserve">Eligible other renewable fuel</x:t>
        </x:is>
      </x:c>
      <x:c r="B26" t="n">
        <x:v>180000000</x:v>
      </x:c>
      <x:c r="C26" t="inlineStr">
        <x:is>
          <x:t xml:space="preserve">L/year</x:t>
        </x:is>
      </x:c>
      <x:c r="D26" t="inlineStr">
        <x:is>
          <x:t xml:space="preserve">Unverified proposed volume</x:t>
        </x:is>
      </x:c>
    </x:row>
    <x:row r="27">
      <x:c r="A27" t="inlineStr">
        <x:is>
          <x:t xml:space="preserve">Agricultural renewable-fossil gap</x:t>
        </x:is>
      </x:c>
      <x:c r="B27" t="n">
        <x:v>0.25</x:v>
      </x:c>
      <x:c r="C27" t="inlineStr">
        <x:is>
          <x:t xml:space="preserve">CAD/L</x:t>
        </x:is>
      </x:c>
      <x:c r="D27" t="inlineStr">
        <x:is>
          <x:t xml:space="preserve">Scenario differential; must be tested</x:t>
        </x:is>
      </x:c>
    </x:row>
    <x:row r="28">
      <x:c r="A28" t="inlineStr">
        <x:is>
          <x:t xml:space="preserve">Other renewable-fossil gap</x:t>
        </x:is>
      </x:c>
      <x:c r="B28" t="n">
        <x:v>0.18</x:v>
      </x:c>
      <x:c r="C28" t="inlineStr">
        <x:is>
          <x:t xml:space="preserve">CAD/L</x:t>
        </x:is>
      </x:c>
      <x:c r="D28" t="inlineStr">
        <x:is>
          <x:t xml:space="preserve">Scenario differential; must be tested</x:t>
        </x:is>
      </x:c>
    </x:row>
    <x:row r="29">
      <x:c r="A29" t="inlineStr">
        <x:is>
          <x:t xml:space="preserve">Eligible fruit in drying discount</x:t>
        </x:is>
      </x:c>
      <x:c r="B29" t="n">
        <x:v>5000</x:v>
      </x:c>
      <x:c r="C29" t="inlineStr">
        <x:is>
          <x:t xml:space="preserve">tonnes/year</x:t>
        </x:is>
      </x:c>
      <x:c r="D29" t="inlineStr">
        <x:is>
          <x:t xml:space="preserve">Illustrative</x:t>
        </x:is>
      </x:c>
    </x:row>
    <x:row r="30">
      <x:c r="A30" t="inlineStr">
        <x:is>
          <x:t xml:space="preserve">Dryer service discount</x:t>
        </x:is>
      </x:c>
      <x:c r="B30" t="n">
        <x:v>25</x:v>
      </x:c>
      <x:c r="C30" t="inlineStr">
        <x:is>
          <x:t xml:space="preserve">CAD/tonne</x:t>
        </x:is>
      </x:c>
      <x:c r="D30" t="inlineStr">
        <x:is>
          <x:t xml:space="preserve">Illustrative</x:t>
        </x:is>
      </x:c>
    </x:row>
    <x:row r="31">
      <x:c r="A31" t="inlineStr">
        <x:is>
          <x:t xml:space="preserve">Mature community target</x:t>
        </x:is>
      </x:c>
      <x:c r="B31" t="n">
        <x:v>4600000000</x:v>
      </x:c>
      <x:c r="C31" t="inlineStr">
        <x:is>
          <x:t xml:space="preserve">CAD/year</x:t>
        </x:is>
      </x:c>
      <x:c r="D31" t="inlineStr">
        <x:is>
          <x:t xml:space="preserve">Proponent aspiration; not financed</x:t>
        </x:is>
      </x:c>
    </x:row>
    <x:row r="32">
      <x:c r="A32" t="inlineStr">
        <x:is>
          <x:t xml:space="preserve">Installed IT power</x:t>
        </x:is>
      </x:c>
      <x:c r="B32" t="n">
        <x:v>3624.51</x:v>
      </x:c>
      <x:c r="C32" t="inlineStr">
        <x:is>
          <x:t xml:space="preserve">MW IT</x:t>
        </x:is>
      </x:c>
      <x:c r="D32" t="inlineStr">
        <x:is>
          <x:t xml:space="preserve">Digital Gardens mature concept</x:t>
        </x:is>
      </x:c>
    </x:row>
    <x:row r="33">
      <x:c r="A33" t="inlineStr">
        <x:is>
          <x:t xml:space="preserve">Heat capture from operating IT</x:t>
        </x:is>
      </x:c>
      <x:c r="B33" t="n">
        <x:v>0.85</x:v>
      </x:c>
      <x:c r="C33" t="inlineStr">
        <x:is>
          <x:t xml:space="preserve">fraction</x:t>
        </x:is>
      </x:c>
      <x:c r="D33" t="inlineStr">
        <x:is>
          <x:t xml:space="preserve">Author assumption</x:t>
        </x:is>
      </x:c>
    </x:row>
    <x:row r="34">
      <x:c r="A34" t="inlineStr">
        <x:is>
          <x:t xml:space="preserve">Potential use of captured heat</x:t>
        </x:is>
      </x:c>
      <x:c r="B34" t="n">
        <x:v>0.6</x:v>
      </x:c>
      <x:c r="C34" t="inlineStr">
        <x:is>
          <x:t xml:space="preserve">fraction</x:t>
        </x:is>
      </x:c>
      <x:c r="D34" t="inlineStr">
        <x:is>
          <x:t xml:space="preserve">Author assumption</x:t>
        </x:is>
      </x:c>
    </x:row>
    <x:row r="35">
      <x:c r="A35" t="inlineStr">
        <x:is>
          <x:t xml:space="preserve">Electricity CO2 intensity</x:t>
        </x:is>
      </x:c>
      <x:c r="B35" t="n">
        <x:v>50</x:v>
      </x:c>
      <x:c r="C35" t="inlineStr">
        <x:is>
          <x:t xml:space="preserve">kg CO2e/MWh</x:t>
        </x:is>
      </x:c>
      <x:c r="D35" t="inlineStr">
        <x:is>
          <x:t xml:space="preserve">Scenario only</x:t>
        </x:is>
      </x:c>
    </x:row>
    <x:row r="36">
      <x:c r="A36" t="inlineStr">
        <x:is>
          <x:t xml:space="preserve">Marketable fresh-produce fraction</x:t>
        </x:is>
      </x:c>
      <x:c r="B36" t="n">
        <x:v>0.9</x:v>
      </x:c>
      <x:c r="C36" t="inlineStr">
        <x:is>
          <x:t xml:space="preserve">fraction of greenhouse gross harvest</x:t>
        </x:is>
      </x:c>
      <x:c r="D36" t="inlineStr">
        <x:is>
          <x:t xml:space="preserve">Screening assumption for grade and loss; not measured</x:t>
        </x:is>
      </x:c>
    </x:row>
    <x:row r="37">
      <x:c r="A37" t="inlineStr">
        <x:is>
          <x:t xml:space="preserve">Marketable seafood yield fraction</x:t>
        </x:is>
      </x:c>
      <x:c r="B37" t="n">
        <x:v>0.65</x:v>
      </x:c>
      <x:c r="C37" t="inlineStr">
        <x:is>
          <x:t xml:space="preserve">fraction of whole aquaculture live weight</x:t>
        </x:is>
      </x:c>
      <x:c r="D37" t="inlineStr">
        <x:is>
          <x:t xml:space="preserve">Illustrative edible market-product recovery; species mix matters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1" customWidth="1"/>
    <x:col min="2" max="2" width="24" customWidth="1"/>
    <x:col min="3" max="3" width="24" customWidth="1"/>
    <x:col min="4" max="4" width="62" customWidth="1"/>
  </x:cols>
  <x:sheetData>
    <x:row r="1" ht="28" customHeight="1">
      <x:c r="A1" s="9" t="inlineStr">
        <x:is>
          <x:t xml:space="preserve">ANNUAL BENEFIT COMPONENT</x:t>
        </x:is>
      </x:c>
      <x:c r="B1" s="9" t="inlineStr">
        <x:is>
          <x:t xml:space="preserve">PHASE 1 (CALC)</x:t>
        </x:is>
      </x:c>
      <x:c r="C1" s="9" t="inlineStr">
        <x:is>
          <x:t xml:space="preserve">PHASE 2 (CALC)</x:t>
        </x:is>
      </x:c>
      <x:c r="D1" s="9" t="inlineStr">
        <x:is>
          <x:t xml:space="preserve">MODEL BOUNDARY / NOTE</x:t>
        </x:is>
      </x:c>
    </x:row>
    <x:row r="2">
      <x:c r="A2" t="inlineStr">
        <x:is>
          <x:t xml:space="preserve">Population (cumulative)</x:t>
        </x:is>
      </x:c>
      <x:c r="B2" s="24" t="n">
        <x:f>'Editable Inputs'!$B$2*'Editable Inputs'!$B$3</x:f>
        <x:v>393967</x:v>
      </x:c>
      <x:c r="C2" s="24" t="n">
        <x:f>'Editable Inputs'!$B$2*1</x:f>
        <x:v>787934</x:v>
      </x:c>
      <x:c r="D2" t="inlineStr">
        <x:is>
          <x:t xml:space="preserve">Two phases are cumulative, not additive populations.</x:t>
        </x:is>
      </x:c>
    </x:row>
    <x:row r="3">
      <x:c r="A3" t="inlineStr">
        <x:is>
          <x:t xml:space="preserve">Households</x:t>
        </x:is>
      </x:c>
      <x:c r="B3" s="24" t="n">
        <x:f>B2/'Editable Inputs'!$B$4</x:f>
        <x:v>164152.9166666667</x:v>
      </x:c>
      <x:c r="C3" s="24" t="n">
        <x:f>C2/'Editable Inputs'!$B$4</x:f>
        <x:v>328305.8333333334</x:v>
      </x:c>
      <x:c r="D3" t="inlineStr">
        <x:is>
          <x:t xml:space="preserve">B.C. 2021 census 2.4 residents per household.</x:t>
        </x:is>
      </x:c>
    </x:row>
    <x:row r="4">
      <x:c r="A4" t="inlineStr">
        <x:is>
          <x:t xml:space="preserve">Eligible provisioned EVs</x:t>
        </x:is>
      </x:c>
      <x:c r="B4" s="24" t="n">
        <x:f>B3*'Editable Inputs'!$B$5</x:f>
        <x:v>147737.62500000003</x:v>
      </x:c>
      <x:c r="C4" s="24" t="n">
        <x:f>C3*'Editable Inputs'!$B$5</x:f>
        <x:v>295475.25000000006</x:v>
      </x:c>
      <x:c r="D4" t="inlineStr">
        <x:is>
          <x:t xml:space="preserve">Optional vehicle provision, not confirmed.</x:t>
        </x:is>
      </x:c>
    </x:row>
    <x:row r="5">
      <x:c r="A5" t="inlineStr">
        <x:is>
          <x:t xml:space="preserve">Free-charging EVs</x:t>
        </x:is>
      </x:c>
      <x:c r="B5" s="24" t="n">
        <x:f>B3*'Editable Inputs'!$B$9</x:f>
        <x:v>139529.9791666667</x:v>
      </x:c>
      <x:c r="C5" s="24" t="n">
        <x:f>C3*'Editable Inputs'!$B$9</x:f>
        <x:v>279059.9583333334</x:v>
      </x:c>
      <x:c r="D5" t="inlineStr">
        <x:is>
          <x:t xml:space="preserve">Free charging only; not household electricity.</x:t>
        </x:is>
      </x:c>
    </x:row>
    <x:row r="6">
      <x:c r="A6" t="inlineStr">
        <x:is>
          <x:t xml:space="preserve">EV public charging GWh/year</x:t>
        </x:is>
      </x:c>
      <x:c r="B6" s="24" t="n">
        <x:f>B5*'Editable Inputs'!$B$10*'Editable Inputs'!$B$11/(1-'Editable Inputs'!$B$12)/1000000</x:f>
        <x:v>353.47594722222226</x:v>
      </x:c>
      <x:c r="C6" s="24" t="n">
        <x:f>C5*'Editable Inputs'!$B$10*'Editable Inputs'!$B$11/(1-'Editable Inputs'!$B$12)/1000000</x:f>
        <x:v>706.9518944444445</x:v>
      </x:c>
      <x:c r="D6" t="inlineStr">
        <x:is>
          <x:t xml:space="preserve">This is electricity bought/provided to chargers; must add to grid load.</x:t>
        </x:is>
      </x:c>
    </x:row>
    <x:row r="7">
      <x:c r="A7" t="inlineStr">
        <x:is>
          <x:t xml:space="preserve">Mean EV charging MW</x:t>
        </x:is>
      </x:c>
      <x:c r="B7" s="24" t="n">
        <x:f>B6*1000/8760</x:f>
        <x:v>40.351135527650946</x:v>
      </x:c>
      <x:c r="C7" s="24" t="n">
        <x:f>C6*1000/8760</x:f>
        <x:v>80.70227105530189</x:v>
      </x:c>
      <x:c r="D7" t="inlineStr">
        <x:is>
          <x:t xml:space="preserve">Annual average; not a transmission interconnection study.</x:t>
        </x:is>
      </x:c>
    </x:row>
    <x:row r="8">
      <x:c r="A8" t="inlineStr">
        <x:is>
          <x:t xml:space="preserve">Conditional coincident EV charging MW</x:t>
        </x:is>
      </x:c>
      <x:c r="B8" s="24" t="n">
        <x:f>B5*'Editable Inputs'!$B$16*'Editable Inputs'!$B$17/1000</x:f>
        <x:v>60.27695100000002</x:v>
      </x:c>
      <x:c r="C8" s="24" t="n">
        <x:f>C5*'Editable Inputs'!$B$16*'Editable Inputs'!$B$17/1000</x:f>
        <x:v>120.55390200000004</x:v>
      </x:c>
      <x:c r="D8" t="inlineStr">
        <x:is>
          <x:t xml:space="preserve">6% simultaneity proxy, not hourly dispatch.</x:t>
        </x:is>
      </x:c>
    </x:row>
    <x:row r="9">
      <x:c r="A9" t="inlineStr">
        <x:is>
          <x:t xml:space="preserve">EV fleet value annual equivalent CAD m</x:t>
        </x:is>
      </x:c>
      <x:c r="B9" s="24" t="n">
        <x:f>B4*'Editable Inputs'!$B$6/'Editable Inputs'!$B$7/1000000</x:f>
        <x:v>467.83581250000003</x:v>
      </x:c>
      <x:c r="C9" s="24" t="n">
        <x:f>C4*'Editable Inputs'!$B$6/'Editable Inputs'!$B$7/1000000</x:f>
        <x:v>935.6716250000001</x:v>
      </x:c>
      <x:c r="D9" t="inlineStr">
        <x:is>
          <x:t xml:space="preserve">Straight-line asset value, not a yearly cash transfer.</x:t>
        </x:is>
      </x:c>
    </x:row>
    <x:row r="10">
      <x:c r="A10" t="inlineStr">
        <x:is>
          <x:t xml:space="preserve">EV fleet financing annual CAD m</x:t>
        </x:is>
      </x:c>
      <x:c r="B10" s="24" t="n">
        <x:f>B4*'Editable Inputs'!$B$6*('Editable Inputs'!$B$8*(1+'Editable Inputs'!$B$8)^'Editable Inputs'!$B$7)/((1+'Editable Inputs'!$B$8)^'Editable Inputs'!$B$7-1)/1000000</x:f>
        <x:v>633.4052084128059</x:v>
      </x:c>
      <x:c r="C10" s="24" t="n">
        <x:f>C4*'Editable Inputs'!$B$6*('Editable Inputs'!$B$8*(1+'Editable Inputs'!$B$8)^'Editable Inputs'!$B$7)/((1+'Editable Inputs'!$B$8)^'Editable Inputs'!$B$7-1)/1000000</x:f>
        <x:v>1266.8104168256118</x:v>
      </x:c>
      <x:c r="D10" t="inlineStr">
        <x:is>
          <x:t xml:space="preserve">5% annuity over 12 years; annual funding differs from value.</x:t>
        </x:is>
      </x:c>
    </x:row>
    <x:row r="11">
      <x:c r="A11" t="inlineStr">
        <x:is>
          <x:t xml:space="preserve">Charging retail-equivalent value CAD m</x:t>
        </x:is>
      </x:c>
      <x:c r="B11" s="24" t="n">
        <x:f>B6*'Editable Inputs'!$B$13</x:f>
        <x:v>123.71658152777778</x:v>
      </x:c>
      <x:c r="C11" s="24" t="n">
        <x:f>C6*'Editable Inputs'!$B$13</x:f>
        <x:v>247.43316305555555</x:v>
      </x:c>
      <x:c r="D11" t="inlineStr">
        <x:is>
          <x:t xml:space="preserve">Retail-equivalent free charging service value.</x:t>
        </x:is>
      </x:c>
    </x:row>
    <x:row r="12">
      <x:c r="A12" t="inlineStr">
        <x:is>
          <x:t xml:space="preserve">Charging electricity+operations cost CAD m</x:t>
        </x:is>
      </x:c>
      <x:c r="B12" s="24" t="n">
        <x:f>B6*('Editable Inputs'!$B$14+'Editable Inputs'!$B$15)</x:f>
        <x:v>67.16042997222223</x:v>
      </x:c>
      <x:c r="C12" s="24" t="n">
        <x:f>C6*('Editable Inputs'!$B$14+'Editable Inputs'!$B$15)</x:f>
        <x:v>134.32085994444446</x:v>
      </x:c>
      <x:c r="D12" t="inlineStr">
        <x:is>
          <x:t xml:space="preserve">Costs are illustrative energy + operations, excluding infrastructure.</x:t>
        </x:is>
      </x:c>
    </x:row>
    <x:row r="13">
      <x:c r="A13" t="inlineStr">
        <x:is>
          <x:t xml:space="preserve">Greenhouse food market value CAD m</x:t>
        </x:is>
      </x:c>
      <x:c r="B13" s="24" t="n">
        <x:f>B2*'Editable Inputs'!$B$19*'Editable Inputs'!$B$20/1000000</x:f>
        <x:v>201.317137</x:v>
      </x:c>
      <x:c r="C13" s="24" t="n">
        <x:f>C2*'Editable Inputs'!$B$19*'Editable Inputs'!$B$20/1000000</x:f>
        <x:v>402.634274</x:v>
      </x:c>
      <x:c r="D13" t="inlineStr">
        <x:is>
          <x:t xml:space="preserve">146 kg/year per resident at assumed produce price; conditional.</x:t>
        </x:is>
      </x:c>
    </x:row>
    <x:row r="14">
      <x:c r="A14" t="inlineStr">
        <x:is>
          <x:t xml:space="preserve">Seafood market value CAD m</x:t>
        </x:is>
      </x:c>
      <x:c r="B14" s="24" t="n">
        <x:f>B2*'Editable Inputs'!$B$22*'Editable Inputs'!$B$23/1000000</x:f>
        <x:v>126.857374</x:v>
      </x:c>
      <x:c r="C14" s="24" t="n">
        <x:f>C2*'Editable Inputs'!$B$22*'Editable Inputs'!$B$23/1000000</x:f>
        <x:v>253.714748</x:v>
      </x:c>
      <x:c r="D14" t="inlineStr">
        <x:is>
          <x:t xml:space="preserve">46 kg/year per resident at assumed seafood price; conditional.</x:t>
        </x:is>
      </x:c>
    </x:row>
    <x:row r="15">
      <x:c r="A15" t="inlineStr">
        <x:is>
          <x:t xml:space="preserve">Agriculture fuel price-parity subsidy CAD m</x:t>
        </x:is>
      </x:c>
      <x:c r="B15" s="24" t="n">
        <x:f>'Editable Inputs'!$B$25*MAX(0,'Editable Inputs'!$B$27)*(B2/'Editable Inputs'!$B$2)/1000000</x:f>
        <x:v>2.3363124375</x:v>
      </x:c>
      <x:c r="C15" s="24" t="n">
        <x:f>'Editable Inputs'!$B$25*MAX(0,'Editable Inputs'!$B$27)*(C2/'Editable Inputs'!$B$2)/1000000</x:f>
        <x:v>4.672624875</x:v>
      </x:c>
      <x:c r="D15" t="inlineStr">
        <x:is>
          <x:t xml:space="preserve">max(0, renewable landed price - fossil parity)*L.</x:t>
        </x:is>
      </x:c>
    </x:row>
    <x:row r="16">
      <x:c r="A16" t="inlineStr">
        <x:is>
          <x:t xml:space="preserve">Other fuel price-parity subsidy CAD m</x:t>
        </x:is>
      </x:c>
      <x:c r="B16" s="24" t="n">
        <x:f>'Editable Inputs'!$B$26*MAX(0,'Editable Inputs'!$B$28)*(B2/'Editable Inputs'!$B$2)/1000000</x:f>
        <x:v>16.2</x:v>
      </x:c>
      <x:c r="C16" s="24" t="n">
        <x:f>'Editable Inputs'!$B$26*MAX(0,'Editable Inputs'!$B$28)*(C2/'Editable Inputs'!$B$2)/1000000</x:f>
        <x:v>32.4</x:v>
      </x:c>
      <x:c r="D16" t="inlineStr">
        <x:is>
          <x:t xml:space="preserve">No subsidy if renewable cheaper than fossil.</x:t>
        </x:is>
      </x:c>
    </x:row>
    <x:row r="17">
      <x:c r="A17" t="inlineStr">
        <x:is>
          <x:t xml:space="preserve">Fruit-dryer farmer discount CAD m</x:t>
        </x:is>
      </x:c>
      <x:c r="B17" s="24" t="n">
        <x:f>'Editable Inputs'!$B$29*'Editable Inputs'!$B$30*(B2/'Editable Inputs'!$B$2)/1000000</x:f>
        <x:v>0.0625</x:v>
      </x:c>
      <x:c r="C17" s="24" t="n">
        <x:f>'Editable Inputs'!$B$29*'Editable Inputs'!$B$30*(C2/'Editable Inputs'!$B$2)/1000000</x:f>
        <x:v>0.125</x:v>
      </x:c>
      <x:c r="D17" t="inlineStr">
        <x:is>
          <x:t xml:space="preserve">Farmer discount, not total producer revenue.</x:t>
        </x:is>
      </x:c>
    </x:row>
    <x:row r="18">
      <x:c r="A18" t="inlineStr">
        <x:is>
          <x:t xml:space="preserve">Household-electricity benefits CAD m</x:t>
        </x:is>
      </x:c>
      <x:c r="B18" s="24" t="n">
        <x:f>0</x:f>
        <x:v>0</x:v>
      </x:c>
      <x:c r="C18" s="24" t="n">
        <x:f>0</x:f>
        <x:v>0</x:v>
      </x:c>
      <x:c r="D18" t="inlineStr">
        <x:is>
          <x:t xml:space="preserve">Always ZERO: no free domestic electricity.</x:t>
        </x:is>
      </x:c>
    </x:row>
    <x:row r="19">
      <x:c r="A19" t="inlineStr">
        <x:is>
          <x:t xml:space="preserve">TOTAL market-equivalent annual value CAD m</x:t>
        </x:is>
      </x:c>
      <x:c r="B19" s="24" t="n">
        <x:f>SUM(B9,B11,B13:B18)</x:f>
        <x:v>938.3257174652779</x:v>
      </x:c>
      <x:c r="C19" s="24" t="n">
        <x:f>SUM(C9,C11,C13:C18)</x:f>
        <x:v>1876.6514349305558</x:v>
      </x:c>
      <x:c r="D19" t="inlineStr">
        <x:is>
          <x:t xml:space="preserve">Sum annualised EV value, charging, food, and parity.</x:t>
        </x:is>
      </x:c>
    </x:row>
    <x:row r="20">
      <x:c r="A20" t="inlineStr">
        <x:is>
          <x:t xml:space="preserve">TOTAL illustrative annual financing CAD m</x:t>
        </x:is>
      </x:c>
      <x:c r="B20" s="24" t="n">
        <x:f>SUM(B10,B12,B13*'Editable Inputs'!$B$24,B14*'Editable Inputs'!$B$24,B15:B17)</x:f>
        <x:v>932.4778829725282</x:v>
      </x:c>
      <x:c r="C20" s="24" t="n">
        <x:f>SUM(C10,C12,C13*'Editable Inputs'!$B$24,C14*'Editable Inputs'!$B$24,C15:C17)</x:f>
        <x:v>1864.9557659450563</x:v>
      </x:c>
      <x:c r="D20" t="inlineStr">
        <x:is>
          <x:t xml:space="preserve">Includes financed EV capital and programme cost of services.</x:t>
        </x:is>
      </x:c>
    </x:row>
    <x:row r="21">
      <x:c r="A21" t="inlineStr">
        <x:is>
          <x:t xml:space="preserve">Difference to CAD 4.6B aspirational target CAD m</x:t>
        </x:is>
      </x:c>
      <x:c r="B21" s="24" t="n">
        <x:f>MAX(0,'Editable Inputs'!$B$31/1000000-B19)</x:f>
        <x:v>3661.674282534722</x:v>
      </x:c>
      <x:c r="C21" s="24" t="n">
        <x:f>MAX(0,'Editable Inputs'!$B$31/1000000-C19)</x:f>
        <x:v>2723.3485650694442</x:v>
      </x:c>
      <x:c r="D21" t="inlineStr">
        <x:is>
          <x:t xml:space="preserve">Not backed by audited free cash flow.</x:t>
        </x:is>
      </x:c>
    </x:row>
    <x:row r="22">
      <x:c r="A22" t="inlineStr">
        <x:is>
          <x:t xml:space="preserve">Equivalent annual market value per resident CAD</x:t>
        </x:is>
      </x:c>
      <x:c r="B22" s="24" t="n">
        <x:f>B19*1000000/B2</x:f>
        <x:v>2381.736839545642</x:v>
      </x:c>
      <x:c r="C22" s="24" t="n">
        <x:f>C19*1000000/C2</x:f>
        <x:v>2381.736839545642</x:v>
      </x:c>
      <x:c r="D22" t="inlineStr">
        <x:is>
          <x:t xml:space="preserve">Only a scenario value, not household cash.</x:t>
        </x:is>
      </x:c>
    </x:row>
    <x:row r="23">
      <x:c r="A23" t="inlineStr">
        <x:is>
          <x:t xml:space="preserve">Additional electricity to data centres (TWh/year)</x:t>
        </x:is>
      </x:c>
      <x:c r="B23" s="24" t="n">
        <x:f>B6/1000</x:f>
        <x:v>0.35347594722222225</x:v>
      </x:c>
      <x:c r="C23" s="24" t="n">
        <x:f>C6/1000</x:f>
        <x:v>0.7069518944444445</x:v>
      </x:c>
      <x:c r="D23" t="inlineStr">
        <x:is>
          <x:t xml:space="preserve">E-mobility additional to data-centre and food electricity.</x:t>
        </x:is>
      </x:c>
    </x:row>
    <x:row r="24">
      <x:c r="A24" t="inlineStr">
        <x:is>
          <x:t xml:space="preserve">Important: fossil parity is not free fuel</x:t>
        </x:is>
      </x:c>
      <x:c r="B24" s="24" t="n">
        <x:f>0</x:f>
        <x:v>0</x:v>
      </x:c>
      <x:c r="C24" s="24" t="n">
        <x:f>0</x:f>
        <x:v>0</x:v>
      </x:c>
      <x:c r="D24" t="inlineStr">
        <x:is>
          <x:t xml:space="preserve">Price parity means zero premium over fossil benchmark, not zero price.</x:t>
        </x:is>
      </x:c>
    </x:row>
    <x:row r="25">
      <x:c r="A25" s="4" t="inlineStr">
        <x:is>
          <x:t xml:space="preserve">Fresh produce entitlement kg per resident-year</x:t>
        </x:is>
      </x:c>
      <x:c r="B25" s="25" t="n">
        <x:f>'Editable Inputs'!$B$19</x:f>
        <x:v>146</x:v>
      </x:c>
      <x:c r="C25" s="25" t="n">
        <x:f>'Editable Inputs'!$B$19</x:f>
        <x:v>146</x:v>
      </x:c>
      <x:c r="D25" s="4" t="inlineStr">
        <x:is>
          <x:t xml:space="preserve">Entitlement set by proponent, not household purchase.</x:t>
        </x:is>
      </x:c>
    </x:row>
    <x:row r="26">
      <x:c r="A26" s="4" t="inlineStr">
        <x:is>
          <x:t xml:space="preserve">Seafood entitlement kg per resident-year</x:t>
        </x:is>
      </x:c>
      <x:c r="B26" s="25" t="n">
        <x:f>'Editable Inputs'!$B$22</x:f>
        <x:v>46</x:v>
      </x:c>
      <x:c r="C26" s="25" t="n">
        <x:f>'Editable Inputs'!$B$22</x:f>
        <x:v>46</x:v>
      </x:c>
      <x:c r="D26" s="4" t="inlineStr">
        <x:is>
          <x:t xml:space="preserve">Entitlement set by proponent, not household purchase.</x:t>
        </x:is>
      </x:c>
    </x:row>
    <x:row r="27">
      <x:c r="A27" t="inlineStr">
        <x:is>
          <x:t xml:space="preserve">Fresh produce to residents t/year</x:t>
        </x:is>
      </x:c>
      <x:c r="B27" s="24" t="n">
        <x:f>B2*B25/1000</x:f>
        <x:v>57519.182</x:v>
      </x:c>
      <x:c r="C27" s="24" t="n">
        <x:f>C2*C25/1000</x:f>
        <x:v>115038.364</x:v>
      </x:c>
      <x:c r="D27" t="inlineStr">
        <x:is>
          <x:t xml:space="preserve">Population times 146 kg, no separate 50% crop-allocation input.</x:t>
        </x:is>
      </x:c>
    </x:row>
    <x:row r="28">
      <x:c r="A28" t="inlineStr">
        <x:is>
          <x:t xml:space="preserve">Seafood to residents t/year</x:t>
        </x:is>
      </x:c>
      <x:c r="B28" s="24" t="n">
        <x:f>B2*B26/1000</x:f>
        <x:v>18122.482</x:v>
      </x:c>
      <x:c r="C28" s="24" t="n">
        <x:f>C2*C26/1000</x:f>
        <x:v>36244.964</x:v>
      </x:c>
      <x:c r="D28" t="inlineStr">
        <x:is>
          <x:t xml:space="preserve">Population times 46 kg, no separate 10% harvest input.</x:t>
        </x:is>
      </x:c>
    </x:row>
    <x:row r="29">
      <x:c r="A29" s="6" t="inlineStr">
        <x:is>
          <x:t xml:space="preserve">Combined fresh-food entitlement t/year</x:t>
        </x:is>
      </x:c>
      <x:c r="B29" s="26" t="n">
        <x:f>SUM(B27:B28)</x:f>
        <x:v>75641.664</x:v>
      </x:c>
      <x:c r="C29" s="26" t="n">
        <x:f>SUM(C27:C28)</x:f>
        <x:v>151283.328</x:v>
      </x:c>
      <x:c r="D29" s="6" t="inlineStr">
        <x:is>
          <x:t xml:space="preserve">No double counting; fresh produce and seafood are separate.</x:t>
        </x:is>
      </x:c>
    </x:row>
    <x:row r="30">
      <x:c r="A30" t="inlineStr">
        <x:is>
          <x:t xml:space="preserve">Share of modeled greenhouse harvest allocated</x:t>
        </x:is>
      </x:c>
      <x:c r="B30" s="27" t="n">
        <x:f>B27/'Editable Inputs'!$B$18</x:f>
        <x:v>0.230076728</x:v>
      </x:c>
      <x:c r="C30" s="27" t="n">
        <x:f>C27/'Editable Inputs'!$B$18</x:f>
        <x:v>0.460153456</x:v>
      </x:c>
      <x:c r="D30" t="inlineStr">
        <x:is>
          <x:t xml:space="preserve">Relative to illustrative 250,000 t/year harvest.</x:t>
        </x:is>
      </x:c>
    </x:row>
    <x:row r="31">
      <x:c r="A31" t="inlineStr">
        <x:is>
          <x:t xml:space="preserve">Share of modeled aquaculture harvest allocated</x:t>
        </x:is>
      </x:c>
      <x:c r="B31" s="27" t="n">
        <x:f>B28/'Editable Inputs'!$B$21</x:f>
        <x:v>0.15102068333333332</x:v>
      </x:c>
      <x:c r="C31" s="27" t="n">
        <x:f>C28/'Editable Inputs'!$B$21</x:f>
        <x:v>0.30204136666666664</x:v>
      </x:c>
      <x:c r="D31" t="inlineStr">
        <x:is>
          <x:t xml:space="preserve">Relative to illustrative 120,000 t/year aquaculture.</x:t>
        </x:is>
      </x:c>
    </x:row>
    <x:row r="32">
      <x:c r="A32" t="inlineStr">
        <x:is>
          <x:t xml:space="preserve">Greenhouse produce remaining t/year</x:t>
        </x:is>
      </x:c>
      <x:c r="B32" s="24" t="n">
        <x:f>'Editable Inputs'!$B$18*'Editable Inputs'!$B$36-B27</x:f>
        <x:v>167480.818</x:v>
      </x:c>
      <x:c r="C32" s="24" t="n">
        <x:f>'Editable Inputs'!$B$18*'Editable Inputs'!$B$36-C27</x:f>
        <x:v>109961.636</x:v>
      </x:c>
      <x:c r="D32" t="inlineStr">
        <x:is>
          <x:t xml:space="preserve">Surplus after illustrative marketable-grade pack-out.</x:t>
        </x:is>
      </x:c>
    </x:row>
    <x:row r="33">
      <x:c r="A33" t="inlineStr">
        <x:is>
          <x:t xml:space="preserve">Aquaculture remaining t/year</x:t>
        </x:is>
      </x:c>
      <x:c r="B33" s="24" t="n">
        <x:f>'Editable Inputs'!$B$21*'Editable Inputs'!$B$37-B28</x:f>
        <x:v>59877.518</x:v>
      </x:c>
      <x:c r="C33" s="24" t="n">
        <x:f>'Editable Inputs'!$B$21*'Editable Inputs'!$B$37-C28</x:f>
        <x:v>41755.036</x:v>
      </x:c>
      <x:c r="D33" t="inlineStr">
        <x:is>
          <x:t xml:space="preserve">Surplus after assumed whole-animal to market-product yield.</x:t>
        </x:is>
      </x:c>
    </x:row>
    <x:row r="34">
      <x:c r="A34" s="6" t="inlineStr">
        <x:is>
          <x:t xml:space="preserve">Food beneficiary market value CAD m</x:t>
        </x:is>
      </x:c>
      <x:c r="B34" s="26" t="n">
        <x:f>B13+B14</x:f>
        <x:v>328.174511</x:v>
      </x:c>
      <x:c r="C34" s="26" t="n">
        <x:f>C13+C14</x:f>
        <x:v>656.349022</x:v>
      </x:c>
      <x:c r="D34" s="6" t="inlineStr">
        <x:is>
          <x:t xml:space="preserve">Check = sum of food rows in main benefit schedule.</x:t>
        </x:is>
      </x:c>
    </x:row>
    <x:row r="35">
      <x:c r="A35" s="6" t="inlineStr">
        <x:is>
          <x:t xml:space="preserve">Food fulfilment funding cost CAD m</x:t>
        </x:is>
      </x:c>
      <x:c r="B35" s="26" t="n">
        <x:f>B34*'Editable Inputs'!$B$24</x:f>
        <x:v>213.31343215</x:v>
      </x:c>
      <x:c r="C35" s="26" t="n">
        <x:f>C34*'Editable Inputs'!$B$24</x:f>
        <x:v>426.6268643</x:v>
      </x:c>
      <x:c r="D35" s="6" t="inlineStr">
        <x:is>
          <x:t xml:space="preserve">Conditional procurement/distribution funding at modeled cost factor.</x:t>
        </x:is>
      </x:c>
    </x:row>
    <x:row r="36">
      <x:c r="A36" t="inlineStr">
        <x:is>
          <x:t xml:space="preserve">Share of marketable greenhouse food allocation</x:t>
        </x:is>
      </x:c>
      <x:c r="B36" s="27" t="n">
        <x:f>B27/('Editable Inputs'!$B$18*'Editable Inputs'!$B$36)</x:f>
        <x:v>0.2556408088888889</x:v>
      </x:c>
      <x:c r="C36" s="27" t="n">
        <x:f>C27/('Editable Inputs'!$B$18*'Editable Inputs'!$B$36)</x:f>
        <x:v>0.5112816177777778</x:v>
      </x:c>
      <x:c r="D36" t="inlineStr">
        <x:is>
          <x:t xml:space="preserve">Share of marketable (not gross harvest) fresh produce.</x:t>
        </x:is>
      </x:c>
    </x:row>
    <x:row r="37">
      <x:c r="A37" t="inlineStr">
        <x:is>
          <x:t xml:space="preserve">Share of marketable seafood allocation</x:t>
        </x:is>
      </x:c>
      <x:c r="B37" s="27" t="n">
        <x:f>B28/('Editable Inputs'!$B$21*'Editable Inputs'!$B$37)</x:f>
        <x:v>0.23233951282051282</x:v>
      </x:c>
      <x:c r="C37" s="27" t="n">
        <x:f>C28/('Editable Inputs'!$B$21*'Editable Inputs'!$B$37)</x:f>
        <x:v>0.46467902564102564</x:v>
      </x:c>
      <x:c r="D37" t="inlineStr">
        <x:is>
          <x:t xml:space="preserve">Share of marketable (not liveweight) aquaculture output.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customWidth="1"/>
    <x:col min="2" max="2" width="23" customWidth="1"/>
    <x:col min="3" max="3" width="23" customWidth="1"/>
    <x:col min="4" max="4" width="23" customWidth="1"/>
    <x:col min="5" max="5" width="23" customWidth="1"/>
    <x:col min="6" max="6" width="23" customWidth="1"/>
  </x:cols>
  <x:sheetData>
    <x:row r="1" ht="28" customHeight="1">
      <x:c r="A1" s="9" t="inlineStr">
        <x:is>
          <x:t xml:space="preserve">IT Utilisation</x:t>
        </x:is>
      </x:c>
      <x:c r="B1" s="9" t="inlineStr">
        <x:is>
          <x:t xml:space="preserve">PUE</x:t>
        </x:is>
      </x:c>
      <x:c r="C1" s="9" t="inlineStr">
        <x:is>
          <x:t xml:space="preserve">Facility TWh/year</x:t>
        </x:is>
      </x:c>
      <x:c r="D1" s="9" t="inlineStr">
        <x:is>
          <x:t xml:space="preserve">Captured heat TWh/year</x:t>
        </x:is>
      </x:c>
      <x:c r="E1" s="9" t="inlineStr">
        <x:is>
          <x:t xml:space="preserve">Potential end-use TWh/year</x:t>
        </x:is>
      </x:c>
      <x:c r="F1" s="9" t="inlineStr">
        <x:is>
          <x:t xml:space="preserve">Scope 2 Mt/y @50 kg/MWh</x:t>
        </x:is>
      </x:c>
    </x:row>
    <x:row r="2">
      <x:c r="A2" t="n">
        <x:v>0.65</x:v>
      </x:c>
      <x:c r="B2" t="n">
        <x:v>1.1</x:v>
      </x:c>
      <x:c r="C2" s="24" t="n">
        <x:f>'Editable Inputs'!$B$32*A2*B2*8760/1000000</x:f>
        <x:v>22.701755934000005</x:v>
      </x:c>
      <x:c r="D2" s="24" t="n">
        <x:f>'Editable Inputs'!$B$32*A2*'Editable Inputs'!$B$33*8760/1000000</x:f>
        <x:v>17.542265949</x:v>
      </x:c>
      <x:c r="E2" s="24" t="n">
        <x:f>D2*'Editable Inputs'!$B$34</x:f>
        <x:v>10.5253595694</x:v>
      </x:c>
      <x:c r="F2" s="24" t="n">
        <x:f>C2*'Editable Inputs'!$B$35/1000</x:f>
        <x:v>1.1350877967000002</x:v>
      </x:c>
    </x:row>
    <x:row r="3">
      <x:c r="A3" t="n">
        <x:v>0.65</x:v>
      </x:c>
      <x:c r="B3" t="n">
        <x:v>1.15</x:v>
      </x:c>
      <x:c r="C3" s="24" t="n">
        <x:f>'Editable Inputs'!$B$32*A3*B3*8760/1000000</x:f>
        <x:v>23.733653931000003</x:v>
      </x:c>
      <x:c r="D3" s="24" t="n">
        <x:f>'Editable Inputs'!$B$32*A3*'Editable Inputs'!$B$33*8760/1000000</x:f>
        <x:v>17.542265949</x:v>
      </x:c>
      <x:c r="E3" s="24" t="n">
        <x:f>D3*'Editable Inputs'!$B$34</x:f>
        <x:v>10.5253595694</x:v>
      </x:c>
      <x:c r="F3" s="24" t="n">
        <x:f>C3*'Editable Inputs'!$B$35/1000</x:f>
        <x:v>1.1866826965500001</x:v>
      </x:c>
    </x:row>
    <x:row r="4">
      <x:c r="A4" t="n">
        <x:v>0.65</x:v>
      </x:c>
      <x:c r="B4" t="n">
        <x:v>1.3</x:v>
      </x:c>
      <x:c r="C4" s="24" t="n">
        <x:f>'Editable Inputs'!$B$32*A4*B4*8760/1000000</x:f>
        <x:v>26.829347922000004</x:v>
      </x:c>
      <x:c r="D4" s="24" t="n">
        <x:f>'Editable Inputs'!$B$32*A4*'Editable Inputs'!$B$33*8760/1000000</x:f>
        <x:v>17.542265949</x:v>
      </x:c>
      <x:c r="E4" s="24" t="n">
        <x:f>D4*'Editable Inputs'!$B$34</x:f>
        <x:v>10.5253595694</x:v>
      </x:c>
      <x:c r="F4" s="24" t="n">
        <x:f>C4*'Editable Inputs'!$B$35/1000</x:f>
        <x:v>1.3414673961</x:v>
      </x:c>
    </x:row>
    <x:row r="5">
      <x:c r="A5" t="n">
        <x:v>0.75</x:v>
      </x:c>
      <x:c r="B5" t="n">
        <x:v>1.1</x:v>
      </x:c>
      <x:c r="C5" s="24" t="n">
        <x:f>'Editable Inputs'!$B$32*A5*B5*8760/1000000</x:f>
        <x:v>26.194333770000004</x:v>
      </x:c>
      <x:c r="D5" s="24" t="n">
        <x:f>'Editable Inputs'!$B$32*A5*'Editable Inputs'!$B$33*8760/1000000</x:f>
        <x:v>20.241076095</x:v>
      </x:c>
      <x:c r="E5" s="24" t="n">
        <x:f>D5*'Editable Inputs'!$B$34</x:f>
        <x:v>12.144645657</x:v>
      </x:c>
      <x:c r="F5" s="24" t="n">
        <x:f>C5*'Editable Inputs'!$B$35/1000</x:f>
        <x:v>1.3097166885000002</x:v>
      </x:c>
    </x:row>
    <x:row r="6">
      <x:c r="A6" t="n">
        <x:v>0.75</x:v>
      </x:c>
      <x:c r="B6" t="n">
        <x:v>1.15</x:v>
      </x:c>
      <x:c r="C6" s="24" t="n">
        <x:f>'Editable Inputs'!$B$32*A6*B6*8760/1000000</x:f>
        <x:v>27.384985305</x:v>
      </x:c>
      <x:c r="D6" s="24" t="n">
        <x:f>'Editable Inputs'!$B$32*A6*'Editable Inputs'!$B$33*8760/1000000</x:f>
        <x:v>20.241076095</x:v>
      </x:c>
      <x:c r="E6" s="24" t="n">
        <x:f>D6*'Editable Inputs'!$B$34</x:f>
        <x:v>12.144645657</x:v>
      </x:c>
      <x:c r="F6" s="24" t="n">
        <x:f>C6*'Editable Inputs'!$B$35/1000</x:f>
        <x:v>1.36924926525</x:v>
      </x:c>
    </x:row>
    <x:row r="7">
      <x:c r="A7" t="n">
        <x:v>0.75</x:v>
      </x:c>
      <x:c r="B7" t="n">
        <x:v>1.3</x:v>
      </x:c>
      <x:c r="C7" s="24" t="n">
        <x:f>'Editable Inputs'!$B$32*A7*B7*8760/1000000</x:f>
        <x:v>30.956939910000003</x:v>
      </x:c>
      <x:c r="D7" s="24" t="n">
        <x:f>'Editable Inputs'!$B$32*A7*'Editable Inputs'!$B$33*8760/1000000</x:f>
        <x:v>20.241076095</x:v>
      </x:c>
      <x:c r="E7" s="24" t="n">
        <x:f>D7*'Editable Inputs'!$B$34</x:f>
        <x:v>12.144645657</x:v>
      </x:c>
      <x:c r="F7" s="24" t="n">
        <x:f>C7*'Editable Inputs'!$B$35/1000</x:f>
        <x:v>1.5478469955</x:v>
      </x:c>
    </x:row>
    <x:row r="8">
      <x:c r="A8" t="n">
        <x:v>0.9</x:v>
      </x:c>
      <x:c r="B8" t="n">
        <x:v>1.1</x:v>
      </x:c>
      <x:c r="C8" s="24" t="n">
        <x:f>'Editable Inputs'!$B$32*A8*B8*8760/1000000</x:f>
        <x:v>31.433200524000004</x:v>
      </x:c>
      <x:c r="D8" s="24" t="n">
        <x:f>'Editable Inputs'!$B$32*A8*'Editable Inputs'!$B$33*8760/1000000</x:f>
        <x:v>24.289291314000003</x:v>
      </x:c>
      <x:c r="E8" s="24" t="n">
        <x:f>D8*'Editable Inputs'!$B$34</x:f>
        <x:v>14.573574788400002</x:v>
      </x:c>
      <x:c r="F8" s="24" t="n">
        <x:f>C8*'Editable Inputs'!$B$35/1000</x:f>
        <x:v>1.5716600262000002</x:v>
      </x:c>
    </x:row>
    <x:row r="9">
      <x:c r="A9" t="n">
        <x:v>0.9</x:v>
      </x:c>
      <x:c r="B9" t="n">
        <x:v>1.15</x:v>
      </x:c>
      <x:c r="C9" s="24" t="n">
        <x:f>'Editable Inputs'!$B$32*A9*B9*8760/1000000</x:f>
        <x:v>32.861982366</x:v>
      </x:c>
      <x:c r="D9" s="24" t="n">
        <x:f>'Editable Inputs'!$B$32*A9*'Editable Inputs'!$B$33*8760/1000000</x:f>
        <x:v>24.289291314000003</x:v>
      </x:c>
      <x:c r="E9" s="24" t="n">
        <x:f>D9*'Editable Inputs'!$B$34</x:f>
        <x:v>14.573574788400002</x:v>
      </x:c>
      <x:c r="F9" s="24" t="n">
        <x:f>C9*'Editable Inputs'!$B$35/1000</x:f>
        <x:v>1.6430991182999999</x:v>
      </x:c>
    </x:row>
    <x:row r="10">
      <x:c r="A10" t="n">
        <x:v>0.9</x:v>
      </x:c>
      <x:c r="B10" t="n">
        <x:v>1.3</x:v>
      </x:c>
      <x:c r="C10" s="24" t="n">
        <x:f>'Editable Inputs'!$B$32*A10*B10*8760/1000000</x:f>
        <x:v>37.148327892</x:v>
      </x:c>
      <x:c r="D10" s="24" t="n">
        <x:f>'Editable Inputs'!$B$32*A10*'Editable Inputs'!$B$33*8760/1000000</x:f>
        <x:v>24.289291314000003</x:v>
      </x:c>
      <x:c r="E10" s="24" t="n">
        <x:f>D10*'Editable Inputs'!$B$34</x:f>
        <x:v>14.573574788400002</x:v>
      </x:c>
      <x:c r="F10" s="24" t="n">
        <x:f>C10*'Editable Inputs'!$B$35/1000</x:f>
        <x:v>1.8574163946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3" customWidth="1"/>
    <x:col min="2" max="2" width="25" customWidth="1"/>
    <x:col min="3" max="3" width="25" customWidth="1"/>
    <x:col min="4" max="4" width="25" customWidth="1"/>
  </x:cols>
  <x:sheetData>
    <x:row r="1" ht="26" customHeight="1">
      <x:c r="A1" s="9" t="inlineStr">
        <x:is>
          <x:t xml:space="preserve">FOOD ENTITLEMENTS</x:t>
        </x:is>
      </x:c>
      <x:c r="B1" s="9" t="inlineStr">
        <x:is>
          <x:t xml:space="preserve">PER RESIDENT/YEAR</x:t>
        </x:is>
      </x:c>
      <x:c r="C1" s="9" t="inlineStr">
        <x:is>
          <x:t xml:space="preserve">PHASE 1</x:t>
        </x:is>
      </x:c>
      <x:c r="D1" s="9" t="inlineStr">
        <x:is>
          <x:t xml:space="preserve">FULL PHASE 2</x:t>
        </x:is>
      </x:c>
    </x:row>
    <x:row r="2">
      <x:c r="A2" t="inlineStr">
        <x:is>
          <x:t xml:space="preserve">Residents</x:t>
        </x:is>
      </x:c>
      <x:c r="C2" s="12" t="n">
        <x:f>'Two-phase Benefits'!B2</x:f>
        <x:v>393967</x:v>
      </x:c>
      <x:c r="D2" s="12" t="n">
        <x:f>'Two-phase Benefits'!C2</x:f>
        <x:v>787934</x:v>
      </x:c>
    </x:row>
    <x:row r="3">
      <x:c r="A3" t="inlineStr">
        <x:is>
          <x:t xml:space="preserve">Fresh produce kg</x:t>
        </x:is>
      </x:c>
      <x:c r="B3" t="n">
        <x:f>'Editable Inputs'!$B$19</x:f>
        <x:v>146</x:v>
      </x:c>
      <x:c r="C3" s="12" t="n">
        <x:f>'Two-phase Benefits'!B25</x:f>
        <x:v>146</x:v>
      </x:c>
      <x:c r="D3" s="12" t="n">
        <x:f>'Two-phase Benefits'!C25</x:f>
        <x:v>146</x:v>
      </x:c>
    </x:row>
    <x:row r="4">
      <x:c r="A4" t="inlineStr">
        <x:is>
          <x:t xml:space="preserve">Seafood kg</x:t>
        </x:is>
      </x:c>
      <x:c r="B4" t="n">
        <x:f>'Editable Inputs'!$B$22</x:f>
        <x:v>46</x:v>
      </x:c>
      <x:c r="C4" s="12" t="n">
        <x:f>'Two-phase Benefits'!B26</x:f>
        <x:v>46</x:v>
      </x:c>
      <x:c r="D4" s="12" t="n">
        <x:f>'Two-phase Benefits'!C26</x:f>
        <x:v>46</x:v>
      </x:c>
    </x:row>
    <x:row r="5">
      <x:c r="A5" t="inlineStr">
        <x:is>
          <x:t xml:space="preserve">Fresh produce allocated tonnes/year</x:t>
        </x:is>
      </x:c>
      <x:c r="C5" s="12" t="n">
        <x:f>'Two-phase Benefits'!B27</x:f>
        <x:v>57519.182</x:v>
      </x:c>
      <x:c r="D5" s="12" t="n">
        <x:f>'Two-phase Benefits'!C27</x:f>
        <x:v>115038.364</x:v>
      </x:c>
    </x:row>
    <x:row r="6">
      <x:c r="A6" t="inlineStr">
        <x:is>
          <x:t xml:space="preserve">Seafood allocated tonnes/year</x:t>
        </x:is>
      </x:c>
      <x:c r="C6" s="12" t="n">
        <x:f>'Two-phase Benefits'!B28</x:f>
        <x:v>18122.482</x:v>
      </x:c>
      <x:c r="D6" s="12" t="n">
        <x:f>'Two-phase Benefits'!C28</x:f>
        <x:v>36244.964</x:v>
      </x:c>
    </x:row>
    <x:row r="7">
      <x:c r="A7" s="6" t="inlineStr">
        <x:is>
          <x:t xml:space="preserve">Combined tonnes/year</x:t>
        </x:is>
      </x:c>
      <x:c r="B7" s="6" t="n"/>
      <x:c r="C7" s="13" t="n">
        <x:f>'Two-phase Benefits'!B29</x:f>
        <x:v>75641.664</x:v>
      </x:c>
      <x:c r="D7" s="13" t="n">
        <x:f>'Two-phase Benefits'!C29</x:f>
        <x:v>151283.328</x:v>
      </x:c>
    </x:row>
    <x:row r="8">
      <x:c r="A8" t="inlineStr">
        <x:is>
          <x:t xml:space="preserve">Produce programme market value CAD m</x:t>
        </x:is>
      </x:c>
      <x:c r="C8" s="12" t="n">
        <x:f>'Two-phase Benefits'!B13</x:f>
        <x:v>201.317137</x:v>
      </x:c>
      <x:c r="D8" s="12" t="n">
        <x:f>'Two-phase Benefits'!C13</x:f>
        <x:v>402.634274</x:v>
      </x:c>
    </x:row>
    <x:row r="9">
      <x:c r="A9" t="inlineStr">
        <x:is>
          <x:t xml:space="preserve">Seafood market value CAD m</x:t>
        </x:is>
      </x:c>
      <x:c r="C9" s="12" t="n">
        <x:f>'Two-phase Benefits'!B14</x:f>
        <x:v>126.857374</x:v>
      </x:c>
      <x:c r="D9" s="12" t="n">
        <x:f>'Two-phase Benefits'!C14</x:f>
        <x:v>253.714748</x:v>
      </x:c>
    </x:row>
    <x:row r="10">
      <x:c r="A10" t="inlineStr">
        <x:is>
          <x:t xml:space="preserve">Produce share of proposed harvest</x:t>
        </x:is>
      </x:c>
      <x:c r="C10" s="28" t="n">
        <x:f>'Two-phase Benefits'!B30</x:f>
        <x:v>0.230076728</x:v>
      </x:c>
      <x:c r="D10" s="28" t="n">
        <x:f>'Two-phase Benefits'!C30</x:f>
        <x:v>0.460153456</x:v>
      </x:c>
    </x:row>
    <x:row r="11">
      <x:c r="A11" t="inlineStr">
        <x:is>
          <x:t xml:space="preserve">Seafood share of proposed harvest</x:t>
        </x:is>
      </x:c>
      <x:c r="C11" s="28" t="n">
        <x:f>'Two-phase Benefits'!B31</x:f>
        <x:v>0.15102068333333332</x:v>
      </x:c>
      <x:c r="D11" s="28" t="n">
        <x:f>'Two-phase Benefits'!C31</x:f>
        <x:v>0.30204136666666664</x:v>
      </x:c>
    </x:row>
    <x:row r="12">
      <x:c r="A12" s="6" t="inlineStr">
        <x:is>
          <x:t xml:space="preserve">Total benefit value CAD m</x:t>
        </x:is>
      </x:c>
      <x:c r="B12" s="6" t="n"/>
      <x:c r="C12" s="13" t="n">
        <x:f>'Two-phase Benefits'!B19</x:f>
        <x:v>938.3257174652779</x:v>
      </x:c>
      <x:c r="D12" s="13" t="n">
        <x:f>'Two-phase Benefits'!C19</x:f>
        <x:v>1876.6514349305558</x:v>
      </x:c>
    </x:row>
    <x:row r="13">
      <x:c r="A13" t="inlineStr">
        <x:is>
          <x:t xml:space="preserve">Produce share of marketable output</x:t>
        </x:is>
      </x:c>
      <x:c r="C13" s="28" t="n">
        <x:f>'Two-phase Benefits'!B36</x:f>
        <x:v>0.2556408088888889</x:v>
      </x:c>
      <x:c r="D13" s="28" t="n">
        <x:f>'Two-phase Benefits'!C36</x:f>
        <x:v>0.5112816177777778</x:v>
      </x:c>
    </x:row>
    <x:row r="14">
      <x:c r="A14" t="inlineStr">
        <x:is>
          <x:t xml:space="preserve">Seafood share of marketable output</x:t>
        </x:is>
      </x:c>
      <x:c r="C14" s="28" t="n">
        <x:f>'Two-phase Benefits'!B37</x:f>
        <x:v>0.23233951282051282</x:v>
      </x:c>
      <x:c r="D14" s="28" t="n">
        <x:f>'Two-phase Benefits'!C37</x:f>
        <x:v>0.46467902564102564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1" customWidth="1"/>
    <x:col min="2" max="2" width="100" customWidth="1"/>
  </x:cols>
  <x:sheetData>
    <x:row r="1" ht="28" customHeight="1">
      <x:c r="A1" s="9" t="inlineStr">
        <x:is>
          <x:t xml:space="preserve">SOURCE / LIMITATION</x:t>
        </x:is>
      </x:c>
      <x:c r="B1" s="9" t="inlineStr">
        <x:is>
          <x:t xml:space="preserve">SUMMARY</x:t>
        </x:is>
      </x:c>
      <x:c r="C1" s="9" t="n"/>
      <x:c r="D1" s="9" t="n"/>
    </x:row>
    <x:row r="2">
      <x:c r="A2" t="inlineStr">
        <x:is>
          <x:t xml:space="preserve">Statistics Canada B.C. 2021 Census</x:t>
        </x:is>
      </x:c>
      <x:c r="B2" t="inlineStr">
        <x:is>
          <x:t xml:space="preserve">2.4 persons/household; source is provincial proxy, not 17-site census.</x:t>
        </x:is>
      </x:c>
    </x:row>
    <x:row r="3">
      <x:c r="A3" t="inlineStr">
        <x:is>
          <x:t xml:space="preserve">BC Hydro public EV charging rates Apr 2026</x:t>
        </x:is>
      </x:c>
      <x:c r="B3" t="inlineStr">
        <x:is>
          <x:t xml:space="preserve">L2 CAD 0.3083/kWh; fast CAD 0.3969/kWh before tax.</x:t>
        </x:is>
      </x:c>
    </x:row>
    <x:row r="4">
      <x:c r="A4" t="inlineStr">
        <x:is>
          <x:t xml:space="preserve">Natural Resources Canada renewable hydrocarbon diesel</x:t>
        </x:is>
      </x:c>
      <x:c r="B4" t="inlineStr">
        <x:is>
          <x:t xml:space="preserve">Premium over petroleum varies with costs and fossil fuel prices.</x:t>
        </x:is>
      </x:c>
    </x:row>
    <x:row r="5">
      <x:c r="A5" t="inlineStr">
        <x:is>
          <x:t xml:space="preserve">Digital Gardens 17-node published design</x:t>
        </x:is>
      </x:c>
      <x:c r="B5" t="inlineStr">
        <x:is>
          <x:t xml:space="preserve">3,624.51 MW IT; 787,934 covered residents supplied by author.</x:t>
        </x:is>
      </x:c>
    </x:row>
    <x:row r="6">
      <x:c r="A6" t="inlineStr">
        <x:is>
          <x:t xml:space="preserve">Vehicle benefits assumption</x:t>
        </x:is>
      </x:c>
      <x:c r="B6" t="inlineStr">
        <x:is>
          <x:t xml:space="preserve">Provision of a vehicle is an optional policy design input, not a confirmed offer.</x:t>
        </x:is>
      </x:c>
    </x:row>
    <x:row r="7">
      <x:c r="A7" t="inlineStr">
        <x:is>
          <x:t xml:space="preserve">No free home electricity</x:t>
        </x:is>
      </x:c>
      <x:c r="B7" t="inlineStr">
        <x:is>
          <x:t xml:space="preserve">Explicit ZERO benefit to domestic electric meters; only free EV charging.</x:t>
        </x:is>
      </x:c>
    </x:row>
    <x:row r="8">
      <x:c r="A8" t="inlineStr">
        <x:is>
          <x:t xml:space="preserve">Finance caveat</x:t>
        </x:is>
      </x:c>
      <x:c r="B8" t="inlineStr">
        <x:is>
          <x:t xml:space="preserve">Value to beneficiaries, actual funding, and cash flow must be audited separately.</x:t>
        </x:is>
      </x:c>
    </x:row>
    <x:row r="9">
      <x:c r="A9" t="inlineStr">
        <x:is>
          <x:t xml:space="preserve">BC Ministry of Agriculture 2021 census profiles</x:t>
        </x:is>
      </x:c>
      <x:c r="B9" t="inlineStr">
        <x:is>
          <x:t xml:space="preserve">https://www2.gov.bc.ca/gov/content/industry/agriculture-seafood/statistics/census-of-agriculture</x:t>
        </x:is>
      </x:c>
    </x:row>
    <x:row r="10">
      <x:c r="A10" t="inlineStr">
        <x:is>
          <x:t xml:space="preserve">Forage machinery reference</x:t>
        </x:is>
      </x:c>
      <x:c r="B10" t="inlineStr">
        <x:is>
          <x:t xml:space="preserve">https://doi.org/10.1007/s11367-023-02199-1</x:t>
        </x:is>
      </x:c>
    </x:row>
    <x:row r="11">
      <x:c r="A11" t="inlineStr">
        <x:is>
          <x:t xml:space="preserve">ECCC diesel factor</x:t>
        </x:is>
      </x:c>
      <x:c r="B11" t="inlineStr">
        <x:is>
          <x:t xml:space="preserve">https://www.canada.ca/en/environment-climate-change/services/climate-change/pricing-pollution-how-it-will-work/output-based-pricing-system/federal-greenhouse-gas-offset-system/emission-factors-reference-values.html</x:t>
        </x:is>
      </x:c>
    </x:row>
    <x:row r="12">
      <x:c r="A12" t="inlineStr">
        <x:is>
          <x:t xml:space="preserve">Farm fuel tax eligibility</x:t>
        </x:is>
      </x:c>
      <x:c r="B12" t="inlineStr">
        <x:is>
          <x:t xml:space="preserve">https://www2.gov.bc.ca/gov/content/taxes/sales-taxes/motor-fuel-carbon-tax/business/exemptions</x:t>
        </x:is>
      </x:c>
    </x:row>
    <x:row r="13">
      <x:c r="A13" t="inlineStr">
        <x:is>
          <x:t xml:space="preserve">Key boundary</x:t>
        </x:is>
      </x:c>
      <x:c r="B13" t="inlineStr">
        <x:is>
          <x:t xml:space="preserve">Eight complete RDs are counted, allocated to 17 nodes without duplication; NOT complete municipal farm inventory.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40" customWidth="1"/>
    <x:col min="2" max="2" width="17" customWidth="1"/>
    <x:col min="3" max="3" width="17" customWidth="1"/>
    <x:col min="4" max="4" width="75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</x:cols>
  <x:sheetData>
    <x:row r="1" ht="38" customHeight="1">
      <x:c r="A1" s="29" t="inlineStr">
        <x:is>
          <x:t xml:space="preserve">SCENARIO INPUT / COMPONENT</x:t>
        </x:is>
      </x:c>
      <x:c r="B1" s="29" t="inlineStr">
        <x:is>
          <x:t xml:space="preserve">INPUT</x:t>
        </x:is>
      </x:c>
      <x:c r="C1" s="29" t="inlineStr">
        <x:is>
          <x:t xml:space="preserve">UNIT</x:t>
        </x:is>
      </x:c>
      <x:c r="D1" s="29" t="inlineStr">
        <x:is>
          <x:t xml:space="preserve">EMPIRICAL BASIS / STATUS</x:t>
        </x:is>
      </x:c>
    </x:row>
    <x:row r="2">
      <x:c r="A2" s="30" t="inlineStr">
        <x:is>
          <x:t xml:space="preserve">Hay</x:t>
        </x:is>
      </x:c>
      <x:c r="B2" s="31" t="n">
        <x:v>30</x:v>
      </x:c>
      <x:c r="C2" s="30" t="inlineStr">
        <x:is>
          <x:t xml:space="preserve">L/ha/year</x:t>
        </x:is>
      </x:c>
      <x:c r="D2" s="30" t="inlineStr">
        <x:is>
          <x:t xml:space="preserve">Scenario 30; Canada forage literature 22–36 L/ha/y</x:t>
        </x:is>
      </x:c>
    </x:row>
    <x:row r="3">
      <x:c r="A3" s="32" t="inlineStr">
        <x:is>
          <x:t xml:space="preserve">Other cropped land</x:t>
        </x:is>
      </x:c>
      <x:c r="B3" s="33" t="n">
        <x:v>65</x:v>
      </x:c>
      <x:c r="C3" s="32" t="inlineStr">
        <x:is>
          <x:t xml:space="preserve">L/ha/year</x:t>
        </x:is>
      </x:c>
      <x:c r="D3" s="32" t="inlineStr">
        <x:is>
          <x:t xml:space="preserve">Scenario; multiple field operations; not field survey</x:t>
        </x:is>
      </x:c>
    </x:row>
    <x:row r="4">
      <x:c r="A4" s="30" t="inlineStr">
        <x:is>
          <x:t xml:space="preserve">Orchards, fruit, berries and nuts</x:t>
        </x:is>
      </x:c>
      <x:c r="B4" s="31" t="n">
        <x:v>130</x:v>
      </x:c>
      <x:c r="C4" s="30" t="inlineStr">
        <x:is>
          <x:t xml:space="preserve">L/ha/year</x:t>
        </x:is>
      </x:c>
      <x:c r="D4" s="30" t="inlineStr">
        <x:is>
          <x:t xml:space="preserve">Scenario; equipment, mowing, spraying, harvest</x:t>
        </x:is>
      </x:c>
    </x:row>
    <x:row r="5">
      <x:c r="A5" s="32" t="inlineStr">
        <x:is>
          <x:t xml:space="preserve">Vegetables</x:t>
        </x:is>
      </x:c>
      <x:c r="B5" s="33" t="n">
        <x:v>150</x:v>
      </x:c>
      <x:c r="C5" s="32" t="inlineStr">
        <x:is>
          <x:t xml:space="preserve">L/ha/year</x:t>
        </x:is>
      </x:c>
      <x:c r="D5" s="32" t="inlineStr">
        <x:is>
          <x:t xml:space="preserve">Scenario; multiple cultivation passes</x:t>
        </x:is>
      </x:c>
    </x:row>
    <x:row r="6">
      <x:c r="A6" s="30" t="inlineStr">
        <x:is>
          <x:t xml:space="preserve">Nursery, sod</x:t>
        </x:is>
      </x:c>
      <x:c r="B6" s="31" t="n">
        <x:v>100</x:v>
      </x:c>
      <x:c r="C6" s="30" t="inlineStr">
        <x:is>
          <x:t xml:space="preserve">L/ha/year</x:t>
        </x:is>
      </x:c>
      <x:c r="D6" s="30" t="inlineStr">
        <x:is>
          <x:t xml:space="preserve">Scenario, farm-specific variation</x:t>
        </x:is>
      </x:c>
    </x:row>
    <x:row r="7">
      <x:c r="A7" s="32" t="inlineStr">
        <x:is>
          <x:t xml:space="preserve">Seeded pasture</x:t>
        </x:is>
      </x:c>
      <x:c r="B7" s="33" t="n">
        <x:v>25</x:v>
      </x:c>
      <x:c r="C7" s="32" t="inlineStr">
        <x:is>
          <x:t xml:space="preserve">L/ha/year</x:t>
        </x:is>
      </x:c>
      <x:c r="D7" s="32" t="inlineStr">
        <x:is>
          <x:t xml:space="preserve">Scenario; cultivation and mowing</x:t>
        </x:is>
      </x:c>
    </x:row>
    <x:row r="8">
      <x:c r="A8" s="30" t="inlineStr">
        <x:is>
          <x:t xml:space="preserve">Natural pasture</x:t>
        </x:is>
      </x:c>
      <x:c r="B8" s="31" t="n">
        <x:v>1.5</x:v>
      </x:c>
      <x:c r="C8" s="30" t="inlineStr">
        <x:is>
          <x:t xml:space="preserve">L/ha/year</x:t>
        </x:is>
      </x:c>
      <x:c r="D8" s="30" t="inlineStr">
        <x:is>
          <x:t xml:space="preserve">Scenario; sparse visits on extensive grazing land</x:t>
        </x:is>
      </x:c>
    </x:row>
    <x:row r="9">
      <x:c r="A9" s="32" t="inlineStr">
        <x:is>
          <x:t xml:space="preserve">Other farmland</x:t>
        </x:is>
      </x:c>
      <x:c r="B9" s="33" t="n">
        <x:v>3</x:v>
      </x:c>
      <x:c r="C9" s="32" t="inlineStr">
        <x:is>
          <x:t xml:space="preserve">L/ha/year</x:t>
        </x:is>
      </x:c>
      <x:c r="D9" s="32" t="inlineStr">
        <x:is>
          <x:t xml:space="preserve">Scenario; service roads and machinery</x:t>
        </x:is>
      </x:c>
    </x:row>
    <x:row r="10">
      <x:c r="A10" s="30" t="inlineStr">
        <x:is>
          <x:t xml:space="preserve">Fixed per farm / livestock services</x:t>
        </x:is>
      </x:c>
      <x:c r="B10" s="31" t="n">
        <x:v>800</x:v>
      </x:c>
      <x:c r="C10" s="30" t="inlineStr">
        <x:is>
          <x:t xml:space="preserve">L/farm/year</x:t>
        </x:is>
      </x:c>
      <x:c r="D10" s="30" t="inlineStr">
        <x:is>
          <x:t xml:space="preserve">Scenario; supplementary service work; no measured sales</x:t>
        </x:is>
      </x:c>
    </x:row>
    <x:row r="11">
      <x:c r="A11" s="32" t="inlineStr">
        <x:is>
          <x:t xml:space="preserve">Renewable - fossil price difference</x:t>
        </x:is>
      </x:c>
      <x:c r="B11" s="33" t="n">
        <x:v>0.25</x:v>
      </x:c>
      <x:c r="C11" s="32" t="inlineStr">
        <x:is>
          <x:t xml:space="preserve">CAD/L</x:t>
        </x:is>
      </x:c>
      <x:c r="D11" s="32" t="inlineStr">
        <x:is>
          <x:t xml:space="preserve">Unverified market parity price gap; positive-only</x:t>
        </x:is>
      </x:c>
    </x:row>
    <x:row r="12">
      <x:c r="A12" s="30" t="inlineStr">
        <x:is>
          <x:t xml:space="preserve">Programme uptake</x:t>
        </x:is>
      </x:c>
      <x:c r="B12" s="31" t="n">
        <x:v>1</x:v>
      </x:c>
      <x:c r="C12" s="30" t="inlineStr">
        <x:is>
          <x:t xml:space="preserve">fraction</x:t>
        </x:is>
      </x:c>
      <x:c r="D12" s="30" t="inlineStr">
        <x:is>
          <x:t xml:space="preserve">Scenario: full replacement</x:t>
        </x:is>
      </x:c>
    </x:row>
    <x:row r="13">
      <x:c r="A13" s="32" t="inlineStr">
        <x:is>
          <x:t xml:space="preserve">Diesel direct CO2 baseline</x:t>
        </x:is>
      </x:c>
      <x:c r="B13" s="33" t="n">
        <x:v>2.681</x:v>
      </x:c>
      <x:c r="C13" s="32" t="inlineStr">
        <x:is>
          <x:t xml:space="preserve">kg/L</x:t>
        </x:is>
      </x:c>
      <x:c r="D13" s="32" t="inlineStr">
        <x:is>
          <x:t xml:space="preserve">ECCC 2026 combustion factor, not lifecycle savings</x:t>
        </x:is>
      </x:c>
    </x:row>
    <x:row r="14">
      <x:c r="A14" s="30" t="inlineStr">
        <x:is>
          <x:t xml:space="preserve">Diesel intensity sensitivity low</x:t>
        </x:is>
      </x:c>
      <x:c r="B14" s="31" t="n">
        <x:v>0.5</x:v>
      </x:c>
      <x:c r="C14" s="30" t="inlineStr">
        <x:is>
          <x:t xml:space="preserve">factor</x:t>
        </x:is>
      </x:c>
      <x:c r="D14" s="30" t="inlineStr">
        <x:is>
          <x:t xml:space="preserve">Scenario</x:t>
        </x:is>
      </x:c>
    </x:row>
    <x:row r="15">
      <x:c r="A15" s="32" t="inlineStr">
        <x:is>
          <x:t xml:space="preserve">Diesel intensity sensitivity high</x:t>
        </x:is>
      </x:c>
      <x:c r="B15" s="33" t="n">
        <x:v>1.6</x:v>
      </x:c>
      <x:c r="C15" s="32" t="inlineStr">
        <x:is>
          <x:t xml:space="preserve">factor</x:t>
        </x:is>
      </x:c>
      <x:c r="D15" s="32" t="inlineStr">
        <x:is>
          <x:t xml:space="preserve">Scenario</x:t>
        </x:is>
      </x:c>
    </x:row>
    <x:row r="16">
      <x:c r="A16" s="30" t="inlineStr">
        <x:is>
          <x:t xml:space="preserve">Former total fuel allocation</x:t>
        </x:is>
      </x:c>
      <x:c r="B16" s="31" t="n">
        <x:v>100000000</x:v>
      </x:c>
      <x:c r="C16" s="30" t="inlineStr">
        <x:is>
          <x:t xml:space="preserve">L/year</x:t>
        </x:is>
      </x:c>
      <x:c r="D16" s="30" t="inlineStr">
        <x:is>
          <x:t xml:space="preserve">Unverified prior assumption, NOT measured volume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40" customWidth="1"/>
    <x:col min="2" max="2" width="17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82" customWidth="1"/>
  </x:cols>
  <x:sheetData>
    <x:row r="1" ht="38" customHeight="1">
      <x:c r="A1" s="29" t="inlineStr">
        <x:is>
          <x:t xml:space="preserve">2021 census region</x:t>
        </x:is>
      </x:c>
      <x:c r="B1" s="29" t="inlineStr">
        <x:is>
          <x:t xml:space="preserve">Farms (#)</x:t>
        </x:is>
      </x:c>
      <x:c r="C1" s="29" t="inlineStr">
        <x:is>
          <x:t xml:space="preserve">Cropland ha</x:t>
        </x:is>
      </x:c>
      <x:c r="D1" s="29" t="inlineStr">
        <x:is>
          <x:t xml:space="preserve">Hay ha</x:t>
        </x:is>
      </x:c>
      <x:c r="E1" s="29" t="inlineStr">
        <x:is>
          <x:t xml:space="preserve">Fruit/berries ha</x:t>
        </x:is>
      </x:c>
      <x:c r="F1" s="29" t="inlineStr">
        <x:is>
          <x:t xml:space="preserve">Vegetables ha</x:t>
        </x:is>
      </x:c>
      <x:c r="G1" s="29" t="inlineStr">
        <x:is>
          <x:t xml:space="preserve">Nursery/sod ha</x:t>
        </x:is>
      </x:c>
      <x:c r="H1" s="29" t="inlineStr">
        <x:is>
          <x:t xml:space="preserve">Seeded pasture ha</x:t>
        </x:is>
      </x:c>
      <x:c r="I1" s="29" t="inlineStr">
        <x:is>
          <x:t xml:space="preserve">Natural pasture ha</x:t>
        </x:is>
      </x:c>
      <x:c r="J1" s="29" t="inlineStr">
        <x:is>
          <x:t xml:space="preserve">Other farmland ha</x:t>
        </x:is>
      </x:c>
      <x:c r="K1" s="29" t="inlineStr">
        <x:is>
          <x:t xml:space="preserve">Residual field ha</x:t>
        </x:is>
      </x:c>
      <x:c r="L1" s="29" t="inlineStr">
        <x:is>
          <x:t xml:space="preserve">Diesel estimated L/y</x:t>
        </x:is>
      </x:c>
      <x:c r="M1" s="29" t="inlineStr">
        <x:is>
          <x:t xml:space="preserve">Parity subsidy CAD/y</x:t>
        </x:is>
      </x:c>
      <x:c r="N1" s="29" t="inlineStr">
        <x:is>
          <x:t xml:space="preserve">Total farmland ha</x:t>
        </x:is>
      </x:c>
      <x:c r="O1" s="29" t="inlineStr">
        <x:is>
          <x:t xml:space="preserve">Source (official 2021 profile)</x:t>
        </x:is>
      </x:c>
    </x:row>
    <x:row r="2">
      <x:c r="A2" s="30" t="inlineStr">
        <x:is>
          <x:t xml:space="preserve">Squamish-Lillooet</x:t>
        </x:is>
      </x:c>
      <x:c r="B2" s="34" t="n">
        <x:v>117</x:v>
      </x:c>
      <x:c r="C2" s="34" t="n">
        <x:v>2120</x:v>
      </x:c>
      <x:c r="D2" s="34" t="n">
        <x:v>912</x:v>
      </x:c>
      <x:c r="E2" s="34" t="n">
        <x:v>30</x:v>
      </x:c>
      <x:c r="F2" s="34" t="n">
        <x:v>40</x:v>
      </x:c>
      <x:c r="G2" s="35" t="n">
        <x:v>19</x:v>
      </x:c>
      <x:c r="H2" s="35" t="n">
        <x:v>498</x:v>
      </x:c>
      <x:c r="I2" s="35" t="n">
        <x:v>3136</x:v>
      </x:c>
      <x:c r="J2" s="35" t="n">
        <x:v>578</x:v>
      </x:c>
      <x:c r="K2" s="35" t="n">
        <x:f>MAX(0,C2-D2-E2-F2-G2)</x:f>
        <x:v>1119</x:v>
      </x:c>
      <x:c r="L2" s="35" t="n">
        <x:f>D2*'Farm Coefficients'!$B$2+K2*'Farm Coefficients'!$B$3+E2*'Farm Coefficients'!$B$4+F2*'Farm Coefficients'!$B$5+G2*'Farm Coefficients'!$B$6+H2*'Farm Coefficients'!$B$7+I2*'Farm Coefficients'!$B$8+J2*'Farm Coefficients'!$B$9+B2*'Farm Coefficients'!$B$10</x:f>
        <x:v>224383</x:v>
      </x:c>
      <x:c r="M2" s="35" t="n">
        <x:f>L2*MAX(0,'Farm Coefficients'!$B$11)*'Farm Coefficients'!$B$12</x:f>
        <x:v>56095.75</x:v>
      </x:c>
      <x:c r="N2" s="35" t="n">
        <x:v>7526</x:v>
      </x:c>
      <x:c r="O2" s="36" t="inlineStr">
        <x:is>
          <x:t xml:space="preserve">https://www2.gov.bc.ca/assets/gov/farming-natural-resources-and-industry/agriculture-and-seafood/statistics/census/ag-in-brief/dec2024/cd/ag_in_brief_2021_-_cd_squamish-lillooet_-_december_2024_correction.pdf</x:t>
        </x:is>
      </x:c>
    </x:row>
    <x:row r="3">
      <x:c r="A3" s="32" t="inlineStr">
        <x:is>
          <x:t xml:space="preserve">Thompson-Nicola</x:t>
        </x:is>
      </x:c>
      <x:c r="B3" s="37" t="n">
        <x:v>895</x:v>
      </x:c>
      <x:c r="C3" s="37" t="n">
        <x:v>28365</x:v>
      </x:c>
      <x:c r="D3" s="37" t="n">
        <x:v>7541</x:v>
      </x:c>
      <x:c r="E3" s="37" t="n">
        <x:v>51</x:v>
      </x:c>
      <x:c r="F3" s="37" t="n">
        <x:v>246</x:v>
      </x:c>
      <x:c r="G3" s="38" t="n">
        <x:v>5</x:v>
      </x:c>
      <x:c r="H3" s="38" t="n">
        <x:v>10427</x:v>
      </x:c>
      <x:c r="I3" s="38" t="n">
        <x:v>419904</x:v>
      </x:c>
      <x:c r="J3" s="38" t="n">
        <x:v>6103</x:v>
      </x:c>
      <x:c r="K3" s="38" t="n">
        <x:f>MAX(0,C3-D3-E3-F3-G3)</x:f>
        <x:v>20522</x:v>
      </x:c>
      <x:c r="L3" s="38" t="n">
        <x:f>D3*'Farm Coefficients'!$B$2+K3*'Farm Coefficients'!$B$3+E3*'Farm Coefficients'!$B$4+F3*'Farm Coefficients'!$B$5+G3*'Farm Coefficients'!$B$6+H3*'Farm Coefficients'!$B$7+I3*'Farm Coefficients'!$B$8+J3*'Farm Coefficients'!$B$9+B3*'Farm Coefficients'!$B$10</x:f>
        <x:v>3229030</x:v>
      </x:c>
      <x:c r="M3" s="38" t="n">
        <x:f>L3*MAX(0,'Farm Coefficients'!$B$11)*'Farm Coefficients'!$B$12</x:f>
        <x:v>807257.5</x:v>
      </x:c>
      <x:c r="N3" s="38" t="n">
        <x:v>516079</x:v>
      </x:c>
      <x:c r="O3" s="39" t="inlineStr">
        <x:is>
          <x:t xml:space="preserve">https://www2.gov.bc.ca/assets/gov/farming-natural-resources-and-industry/agriculture-and-seafood/statistics/census/ag-in-brief/dec2024/cd/ag_in_brief_2021_-_cd_thompson-nicola_-_december_2024_correction.pdf</x:t>
        </x:is>
      </x:c>
    </x:row>
    <x:row r="4">
      <x:c r="A4" s="30" t="inlineStr">
        <x:is>
          <x:t xml:space="preserve">Columbia-Shuswap</x:t>
        </x:is>
      </x:c>
      <x:c r="B4" s="34" t="n">
        <x:v>510</x:v>
      </x:c>
      <x:c r="C4" s="34" t="n">
        <x:v>10170</x:v>
      </x:c>
      <x:c r="D4" s="34" t="n">
        <x:v>3265</x:v>
      </x:c>
      <x:c r="E4" s="34" t="n">
        <x:v>122</x:v>
      </x:c>
      <x:c r="F4" s="34" t="n">
        <x:v>57</x:v>
      </x:c>
      <x:c r="G4" s="35" t="n">
        <x:v>35</x:v>
      </x:c>
      <x:c r="H4" s="35" t="n">
        <x:v>1663</x:v>
      </x:c>
      <x:c r="I4" s="35" t="n">
        <x:v>8253</x:v>
      </x:c>
      <x:c r="J4" s="35" t="n">
        <x:v>1616</x:v>
      </x:c>
      <x:c r="K4" s="35" t="n">
        <x:f>MAX(0,C4-D4-E4-F4-G4)</x:f>
        <x:v>6691</x:v>
      </x:c>
      <x:c r="L4" s="35" t="n">
        <x:f>D4*'Farm Coefficients'!$B$2+K4*'Farm Coefficients'!$B$3+E4*'Farm Coefficients'!$B$4+F4*'Farm Coefficients'!$B$5+G4*'Farm Coefficients'!$B$6+H4*'Farm Coefficients'!$B$7+I4*'Farm Coefficients'!$B$8+J4*'Farm Coefficients'!$B$9+B4*'Farm Coefficients'!$B$10</x:f>
        <x:v>1027577.5</x:v>
      </x:c>
      <x:c r="M4" s="35" t="n">
        <x:f>L4*MAX(0,'Farm Coefficients'!$B$11)*'Farm Coefficients'!$B$12</x:f>
        <x:v>256894.375</x:v>
      </x:c>
      <x:c r="N4" s="35" t="n">
        <x:v>27052</x:v>
      </x:c>
      <x:c r="O4" s="36" t="inlineStr">
        <x:is>
          <x:t xml:space="preserve">https://www2.gov.bc.ca/assets/gov/farming-natural-resources-and-industry/agriculture-and-seafood/statistics/census/ag-in-brief/dec2024/cd/ag_in_brief_2021_-_cd_columbia-shuswap_-_december_2024_correction.pdf</x:t>
        </x:is>
      </x:c>
    </x:row>
    <x:row r="5">
      <x:c r="A5" s="32" t="inlineStr">
        <x:is>
          <x:t xml:space="preserve">North Okanagan</x:t>
        </x:is>
      </x:c>
      <x:c r="B5" s="37" t="n">
        <x:v>972</x:v>
      </x:c>
      <x:c r="C5" s="37" t="n">
        <x:v>19666</x:v>
      </x:c>
      <x:c r="D5" s="37" t="n">
        <x:v>5411</x:v>
      </x:c>
      <x:c r="E5" s="37" t="n">
        <x:v>470</x:v>
      </x:c>
      <x:c r="F5" s="37" t="n">
        <x:v>133</x:v>
      </x:c>
      <x:c r="G5" s="38" t="n">
        <x:v>143</x:v>
      </x:c>
      <x:c r="H5" s="38" t="n">
        <x:v>2180</x:v>
      </x:c>
      <x:c r="I5" s="38" t="n">
        <x:v>32397</x:v>
      </x:c>
      <x:c r="J5" s="38" t="n">
        <x:v>2586</x:v>
      </x:c>
      <x:c r="K5" s="38" t="n">
        <x:f>MAX(0,C5-D5-E5-F5-G5)</x:f>
        <x:v>13509</x:v>
      </x:c>
      <x:c r="L5" s="38" t="n">
        <x:f>D5*'Farm Coefficients'!$B$2+K5*'Farm Coefficients'!$B$3+E5*'Farm Coefficients'!$B$4+F5*'Farm Coefficients'!$B$5+G5*'Farm Coefficients'!$B$6+H5*'Farm Coefficients'!$B$7+I5*'Farm Coefficients'!$B$8+J5*'Farm Coefficients'!$B$9+B5*'Farm Coefficients'!$B$10</x:f>
        <x:v>2024218.5</x:v>
      </x:c>
      <x:c r="M5" s="38" t="n">
        <x:f>L5*MAX(0,'Farm Coefficients'!$B$11)*'Farm Coefficients'!$B$12</x:f>
        <x:v>506054.625</x:v>
      </x:c>
      <x:c r="N5" s="38" t="n">
        <x:v>62415</x:v>
      </x:c>
      <x:c r="O5" s="39" t="inlineStr">
        <x:is>
          <x:t xml:space="preserve">https://www2.gov.bc.ca/assets/gov/farming-natural-resources-and-industry/agriculture-and-seafood/statistics/census/ag-in-brief/dec2024/cd/ag_in_brief_2021_-_cd_north_okanagan_-_december_2024_correction.pdf</x:t>
        </x:is>
      </x:c>
    </x:row>
    <x:row r="6">
      <x:c r="A6" s="30" t="inlineStr">
        <x:is>
          <x:t xml:space="preserve">Central Okanagan</x:t>
        </x:is>
      </x:c>
      <x:c r="B6" s="34" t="n">
        <x:v>807</x:v>
      </x:c>
      <x:c r="C6" s="34" t="n">
        <x:v>6608</x:v>
      </x:c>
      <x:c r="D6" s="34" t="n">
        <x:v>705</x:v>
      </x:c>
      <x:c r="E6" s="34" t="n">
        <x:v>3879</x:v>
      </x:c>
      <x:c r="F6" s="34" t="n">
        <x:v>98</x:v>
      </x:c>
      <x:c r="G6" s="35" t="n">
        <x:v>377</x:v>
      </x:c>
      <x:c r="H6" s="35" t="n">
        <x:v>606</x:v>
      </x:c>
      <x:c r="I6" s="35" t="n">
        <x:v>11193</x:v>
      </x:c>
      <x:c r="J6" s="35" t="n">
        <x:v>1474</x:v>
      </x:c>
      <x:c r="K6" s="35" t="n">
        <x:f>MAX(0,C6-D6-E6-F6-G6)</x:f>
        <x:v>1549</x:v>
      </x:c>
      <x:c r="L6" s="35" t="n">
        <x:f>D6*'Farm Coefficients'!$B$2+K6*'Farm Coefficients'!$B$3+E6*'Farm Coefficients'!$B$4+F6*'Farm Coefficients'!$B$5+G6*'Farm Coefficients'!$B$6+H6*'Farm Coefficients'!$B$7+I6*'Farm Coefficients'!$B$8+J6*'Farm Coefficients'!$B$9+B6*'Farm Coefficients'!$B$10</x:f>
        <x:v>1360466.5</x:v>
      </x:c>
      <x:c r="M6" s="35" t="n">
        <x:f>L6*MAX(0,'Farm Coefficients'!$B$11)*'Farm Coefficients'!$B$12</x:f>
        <x:v>340116.625</x:v>
      </x:c>
      <x:c r="N6" s="35" t="n">
        <x:v>20888</x:v>
      </x:c>
      <x:c r="O6" s="36" t="inlineStr">
        <x:is>
          <x:t xml:space="preserve">https://www2.gov.bc.ca/assets/gov/farming-natural-resources-and-industry/agriculture-and-seafood/statistics/census/ag-in-brief/dec2024/cd/ag_in_brief_2021_-_cd_central_okanagan_-_december_2024_correction.pdf</x:t>
        </x:is>
      </x:c>
    </x:row>
    <x:row r="7">
      <x:c r="A7" s="32" t="inlineStr">
        <x:is>
          <x:t xml:space="preserve">Okanagan-Similkameen</x:t>
        </x:is>
      </x:c>
      <x:c r="B7" s="37" t="n">
        <x:v>1231</x:v>
      </x:c>
      <x:c r="C7" s="37" t="n">
        <x:v>10558</x:v>
      </x:c>
      <x:c r="D7" s="37" t="n">
        <x:v>633</x:v>
      </x:c>
      <x:c r="E7" s="37" t="n">
        <x:v>7166</x:v>
      </x:c>
      <x:c r="F7" s="37" t="n">
        <x:v>282</x:v>
      </x:c>
      <x:c r="G7" s="38" t="n">
        <x:v>10</x:v>
      </x:c>
      <x:c r="H7" s="38" t="n">
        <x:v>1252</x:v>
      </x:c>
      <x:c r="I7" s="38" t="n">
        <x:v>48822</x:v>
      </x:c>
      <x:c r="J7" s="38" t="n">
        <x:v>2370</x:v>
      </x:c>
      <x:c r="K7" s="38" t="n">
        <x:f>MAX(0,C7-D7-E7-F7-G7)</x:f>
        <x:v>2467</x:v>
      </x:c>
      <x:c r="L7" s="38" t="n">
        <x:f>D7*'Farm Coefficients'!$B$2+K7*'Farm Coefficients'!$B$3+E7*'Farm Coefficients'!$B$4+F7*'Farm Coefficients'!$B$5+G7*'Farm Coefficients'!$B$6+H7*'Farm Coefficients'!$B$7+I7*'Farm Coefficients'!$B$8+J7*'Farm Coefficients'!$B$9+B7*'Farm Coefficients'!$B$10</x:f>
        <x:v>2250668</x:v>
      </x:c>
      <x:c r="M7" s="38" t="n">
        <x:f>L7*MAX(0,'Farm Coefficients'!$B$11)*'Farm Coefficients'!$B$12</x:f>
        <x:v>562667</x:v>
      </x:c>
      <x:c r="N7" s="38" t="n">
        <x:v>65516</x:v>
      </x:c>
      <x:c r="O7" s="39" t="inlineStr">
        <x:is>
          <x:t xml:space="preserve">https://www2.gov.bc.ca/assets/gov/farming-natural-resources-and-industry/agriculture-and-seafood/statistics/census/ag-in-brief/dec2024/cd/ag_in_brief_2021_-_cd_okanagan-similkameen_-_december_2024_correction.pdf</x:t>
        </x:is>
      </x:c>
    </x:row>
    <x:row r="8">
      <x:c r="A8" s="30" t="inlineStr">
        <x:is>
          <x:t xml:space="preserve">Fraser Valley</x:t>
        </x:is>
      </x:c>
      <x:c r="B8" s="34" t="n">
        <x:v>2358</x:v>
      </x:c>
      <x:c r="C8" s="34" t="n">
        <x:v>36962</x:v>
      </x:c>
      <x:c r="D8" s="34" t="n">
        <x:v>10784</x:v>
      </x:c>
      <x:c r="E8" s="34" t="n">
        <x:v>6473</x:v>
      </x:c>
      <x:c r="F8" s="34" t="n">
        <x:v>1843</x:v>
      </x:c>
      <x:c r="G8" s="35" t="n">
        <x:v>1278</x:v>
      </x:c>
      <x:c r="H8" s="35" t="n">
        <x:v>2619</x:v>
      </x:c>
      <x:c r="I8" s="35" t="n">
        <x:v>14027</x:v>
      </x:c>
      <x:c r="J8" s="35" t="n">
        <x:v>4748</x:v>
      </x:c>
      <x:c r="K8" s="35" t="n">
        <x:f>MAX(0,C8-D8-E8-F8-G8)</x:f>
        <x:v>16584</x:v>
      </x:c>
      <x:c r="L8" s="35" t="n">
        <x:f>D8*'Farm Coefficients'!$B$2+K8*'Farm Coefficients'!$B$3+E8*'Farm Coefficients'!$B$4+F8*'Farm Coefficients'!$B$5+G8*'Farm Coefficients'!$B$6+H8*'Farm Coefficients'!$B$7+I8*'Farm Coefficients'!$B$8+J8*'Farm Coefficients'!$B$9+B8*'Farm Coefficients'!$B$10</x:f>
        <x:v>4634379.5</x:v>
      </x:c>
      <x:c r="M8" s="35" t="n">
        <x:f>L8*MAX(0,'Farm Coefficients'!$B$11)*'Farm Coefficients'!$B$12</x:f>
        <x:v>1158594.875</x:v>
      </x:c>
      <x:c r="N8" s="35" t="n">
        <x:v>60350</x:v>
      </x:c>
      <x:c r="O8" s="36" t="inlineStr">
        <x:is>
          <x:t xml:space="preserve">https://www2.gov.bc.ca/assets/gov/farming-natural-resources-and-industry/agriculture-and-seafood/statistics/census/ag-in-brief/dec2024/cd/ag_in_brief_2021_-_cd_fraser_valley_-_december_2024_correction.pdf</x:t>
        </x:is>
      </x:c>
    </x:row>
    <x:row r="9">
      <x:c r="A9" s="32" t="inlineStr">
        <x:is>
          <x:t xml:space="preserve">Greater Vancouver</x:t>
        </x:is>
      </x:c>
      <x:c r="B9" s="37" t="n">
        <x:v>2118</x:v>
      </x:c>
      <x:c r="C9" s="37" t="n">
        <x:v>24999</x:v>
      </x:c>
      <x:c r="D9" s="37" t="n">
        <x:v>5535</x:v>
      </x:c>
      <x:c r="E9" s="37" t="n">
        <x:v>8368</x:v>
      </x:c>
      <x:c r="F9" s="37" t="n">
        <x:v>2401</x:v>
      </x:c>
      <x:c r="G9" s="38" t="n">
        <x:v>677</x:v>
      </x:c>
      <x:c r="H9" s="38" t="n">
        <x:v>999</x:v>
      </x:c>
      <x:c r="I9" s="38" t="n">
        <x:v>2627</x:v>
      </x:c>
      <x:c r="J9" s="38" t="n">
        <x:v>4517</x:v>
      </x:c>
      <x:c r="K9" s="38" t="n">
        <x:f>MAX(0,C9-D9-E9-F9-G9)</x:f>
        <x:v>8018</x:v>
      </x:c>
      <x:c r="L9" s="38" t="n">
        <x:f>D9*'Farm Coefficients'!$B$2+K9*'Farm Coefficients'!$B$3+E9*'Farm Coefficients'!$B$4+F9*'Farm Coefficients'!$B$5+G9*'Farm Coefficients'!$B$6+H9*'Farm Coefficients'!$B$7+I9*'Farm Coefficients'!$B$8+J9*'Farm Coefficients'!$B$9+B9*'Farm Coefficients'!$B$10</x:f>
        <x:v>3939776.5</x:v>
      </x:c>
      <x:c r="M9" s="38" t="n">
        <x:f>L9*MAX(0,'Farm Coefficients'!$B$11)*'Farm Coefficients'!$B$12</x:f>
        <x:v>984944.125</x:v>
      </x:c>
      <x:c r="N9" s="38" t="n">
        <x:v>34360</x:v>
      </x:c>
      <x:c r="O9" s="39" t="inlineStr">
        <x:is>
          <x:t xml:space="preserve">https://www2.gov.bc.ca/assets/gov/farming-natural-resources-and-industry/agriculture-and-seafood/statistics/census/ag-in-brief/ag_in_brief_2021_-_cd_greater_vancouver.pdf</x:t>
        </x:is>
      </x:c>
    </x:row>
    <x:row r="10">
      <x:c r="A10" s="40" t="inlineStr">
        <x:is>
          <x:t xml:space="preserve">TOTAL (all 8 regional districts)</x:t>
        </x:is>
      </x:c>
      <x:c r="B10" s="41" t="n">
        <x:f>SUM(B2:B9)</x:f>
        <x:v>9008</x:v>
      </x:c>
      <x:c r="C10" s="41" t="n">
        <x:f>SUM(C2:C9)</x:f>
        <x:v>139448</x:v>
      </x:c>
      <x:c r="D10" s="41" t="n">
        <x:f>SUM(D2:D9)</x:f>
        <x:v>34786</x:v>
      </x:c>
      <x:c r="E10" s="41" t="n">
        <x:f>SUM(E2:E9)</x:f>
        <x:v>26559</x:v>
      </x:c>
      <x:c r="F10" s="41" t="n">
        <x:f>SUM(F2:F9)</x:f>
        <x:v>5100</x:v>
      </x:c>
      <x:c r="G10" s="42" t="n">
        <x:f>SUM(G2:G9)</x:f>
        <x:v>2544</x:v>
      </x:c>
      <x:c r="H10" s="42" t="n">
        <x:f>SUM(H2:H9)</x:f>
        <x:v>20244</x:v>
      </x:c>
      <x:c r="I10" s="42" t="n">
        <x:f>SUM(I2:I9)</x:f>
        <x:v>540359</x:v>
      </x:c>
      <x:c r="J10" s="42" t="n">
        <x:f>SUM(J2:J9)</x:f>
        <x:v>23992</x:v>
      </x:c>
      <x:c r="K10" s="42" t="n">
        <x:f>SUM(K2:K9)</x:f>
        <x:v>70459</x:v>
      </x:c>
      <x:c r="L10" s="42" t="n">
        <x:f>SUM(L2:L9)</x:f>
        <x:v>18690499.5</x:v>
      </x:c>
      <x:c r="M10" s="42" t="n">
        <x:f>SUM(M2:M9)</x:f>
        <x:v>4672624.875</x:v>
      </x:c>
      <x:c r="N10" s="42" t="n">
        <x:f>SUM(N2:N9)</x:f>
        <x:v>794186</x:v>
      </x:c>
      <x:c r="O10" s="43" t="inlineStr">
        <x:is>
          <x:t xml:space="preserve">Covers wider regions than only municipalities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40" customWidth="1"/>
    <x:col min="2" max="2" width="32" customWidth="1"/>
    <x:col min="3" max="3" width="17" customWidth="1"/>
    <x:col min="4" max="4" width="17" customWidth="1"/>
    <x:col min="5" max="5" width="17" customWidth="1"/>
    <x:col min="6" max="6" width="7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</x:cols>
  <x:sheetData>
    <x:row r="1" ht="38" customHeight="1">
      <x:c r="A1" s="29" t="inlineStr">
        <x:is>
          <x:t xml:space="preserve">Community</x:t>
        </x:is>
      </x:c>
      <x:c r="B1" s="29" t="inlineStr">
        <x:is>
          <x:t xml:space="preserve">Regional district</x:t>
        </x:is>
      </x:c>
      <x:c r="C1" s="29" t="inlineStr">
        <x:is>
          <x:t xml:space="preserve">Attribution weight (assumed)</x:t>
        </x:is>
      </x:c>
      <x:c r="D1" s="29" t="inlineStr">
        <x:is>
          <x:t xml:space="preserve">Diesel L/year proxy</x:t>
        </x:is>
      </x:c>
      <x:c r="E1" s="29" t="inlineStr">
        <x:is>
          <x:t xml:space="preserve">Renewable-fuel parity CAD/year</x:t>
        </x:is>
      </x:c>
      <x:c r="F1" s="29" t="inlineStr">
        <x:is>
          <x:t xml:space="preserve">Evidence limitation</x:t>
        </x:is>
      </x:c>
    </x:row>
    <x:row r="2">
      <x:c r="A2" s="30" t="inlineStr">
        <x:is>
          <x:t xml:space="preserve">Lillooet</x:t>
        </x:is>
      </x:c>
      <x:c r="B2" s="30" t="inlineStr">
        <x:is>
          <x:t xml:space="preserve">Squamish-Lillooet</x:t>
        </x:is>
      </x:c>
      <x:c r="C2" s="44" t="n">
        <x:v>1</x:v>
      </x:c>
      <x:c r="D2" s="45" t="n">
        <x:f>INDEX('RD Agriculture'!$L$2:$L$9,MATCH(B2,'RD Agriculture'!$A$2:$A$9,0))*C2</x:f>
        <x:v>224383</x:v>
      </x:c>
      <x:c r="E2" s="46" t="n">
        <x:f>D2*MAX(0,'Farm Coefficients'!$B$11)*'Farm Coefficients'!$B$12</x:f>
        <x:v>56095.75</x:v>
      </x:c>
      <x:c r="F2" s="30" t="inlineStr">
        <x:is>
          <x:t xml:space="preserve">Service allocation proxy; NOT city-level measured farm diesel</x:t>
        </x:is>
      </x:c>
    </x:row>
    <x:row r="3">
      <x:c r="A3" s="32" t="inlineStr">
        <x:is>
          <x:t xml:space="preserve">Cache Creek</x:t>
        </x:is>
      </x:c>
      <x:c r="B3" s="32" t="inlineStr">
        <x:is>
          <x:t xml:space="preserve">Thompson-Nicola</x:t>
        </x:is>
      </x:c>
      <x:c r="C3" s="47" t="n">
        <x:v>0.15</x:v>
      </x:c>
      <x:c r="D3" s="48" t="n">
        <x:f>INDEX('RD Agriculture'!$L$2:$L$9,MATCH(B3,'RD Agriculture'!$A$2:$A$9,0))*C3</x:f>
        <x:v>484354.5</x:v>
      </x:c>
      <x:c r="E3" s="49" t="n">
        <x:f>D3*MAX(0,'Farm Coefficients'!$B$11)*'Farm Coefficients'!$B$12</x:f>
        <x:v>121088.625</x:v>
      </x:c>
      <x:c r="F3" s="32" t="inlineStr">
        <x:is>
          <x:t xml:space="preserve">Service allocation proxy; NOT city-level measured farm diesel</x:t>
        </x:is>
      </x:c>
    </x:row>
    <x:row r="4">
      <x:c r="A4" s="30" t="inlineStr">
        <x:is>
          <x:t xml:space="preserve">Kamloops</x:t>
        </x:is>
      </x:c>
      <x:c r="B4" s="30" t="inlineStr">
        <x:is>
          <x:t xml:space="preserve">Thompson-Nicola</x:t>
        </x:is>
      </x:c>
      <x:c r="C4" s="44" t="n">
        <x:v>0.55</x:v>
      </x:c>
      <x:c r="D4" s="45" t="n">
        <x:f>INDEX('RD Agriculture'!$L$2:$L$9,MATCH(B4,'RD Agriculture'!$A$2:$A$9,0))*C4</x:f>
        <x:v>1775966.5000000002</x:v>
      </x:c>
      <x:c r="E4" s="46" t="n">
        <x:f>D4*MAX(0,'Farm Coefficients'!$B$11)*'Farm Coefficients'!$B$12</x:f>
        <x:v>443991.62500000006</x:v>
      </x:c>
      <x:c r="F4" s="30" t="inlineStr">
        <x:is>
          <x:t xml:space="preserve">Service allocation proxy; NOT city-level measured farm diesel</x:t>
        </x:is>
      </x:c>
    </x:row>
    <x:row r="5">
      <x:c r="A5" s="32" t="inlineStr">
        <x:is>
          <x:t xml:space="preserve">Chase</x:t>
        </x:is>
      </x:c>
      <x:c r="B5" s="32" t="inlineStr">
        <x:is>
          <x:t xml:space="preserve">Thompson-Nicola</x:t>
        </x:is>
      </x:c>
      <x:c r="C5" s="47" t="n">
        <x:v>0.3</x:v>
      </x:c>
      <x:c r="D5" s="48" t="n">
        <x:f>INDEX('RD Agriculture'!$L$2:$L$9,MATCH(B5,'RD Agriculture'!$A$2:$A$9,0))*C5</x:f>
        <x:v>968709</x:v>
      </x:c>
      <x:c r="E5" s="49" t="n">
        <x:f>D5*MAX(0,'Farm Coefficients'!$B$11)*'Farm Coefficients'!$B$12</x:f>
        <x:v>242177.25</x:v>
      </x:c>
      <x:c r="F5" s="32" t="inlineStr">
        <x:is>
          <x:t xml:space="preserve">Service allocation proxy; NOT city-level measured farm diesel</x:t>
        </x:is>
      </x:c>
    </x:row>
    <x:row r="6">
      <x:c r="A6" s="30" t="inlineStr">
        <x:is>
          <x:t xml:space="preserve">Salmon Arm</x:t>
        </x:is>
      </x:c>
      <x:c r="B6" s="30" t="inlineStr">
        <x:is>
          <x:t xml:space="preserve">Columbia-Shuswap</x:t>
        </x:is>
      </x:c>
      <x:c r="C6" s="44" t="n">
        <x:v>1</x:v>
      </x:c>
      <x:c r="D6" s="45" t="n">
        <x:f>INDEX('RD Agriculture'!$L$2:$L$9,MATCH(B6,'RD Agriculture'!$A$2:$A$9,0))*C6</x:f>
        <x:v>1027577.5</x:v>
      </x:c>
      <x:c r="E6" s="46" t="n">
        <x:f>D6*MAX(0,'Farm Coefficients'!$B$11)*'Farm Coefficients'!$B$12</x:f>
        <x:v>256894.375</x:v>
      </x:c>
      <x:c r="F6" s="30" t="inlineStr">
        <x:is>
          <x:t xml:space="preserve">Service allocation proxy; NOT city-level measured farm diesel</x:t>
        </x:is>
      </x:c>
    </x:row>
    <x:row r="7">
      <x:c r="A7" s="32" t="inlineStr">
        <x:is>
          <x:t xml:space="preserve">Vernon</x:t>
        </x:is>
      </x:c>
      <x:c r="B7" s="32" t="inlineStr">
        <x:is>
          <x:t xml:space="preserve">North Okanagan</x:t>
        </x:is>
      </x:c>
      <x:c r="C7" s="47" t="n">
        <x:v>1</x:v>
      </x:c>
      <x:c r="D7" s="48" t="n">
        <x:f>INDEX('RD Agriculture'!$L$2:$L$9,MATCH(B7,'RD Agriculture'!$A$2:$A$9,0))*C7</x:f>
        <x:v>2024218.5</x:v>
      </x:c>
      <x:c r="E7" s="49" t="n">
        <x:f>D7*MAX(0,'Farm Coefficients'!$B$11)*'Farm Coefficients'!$B$12</x:f>
        <x:v>506054.625</x:v>
      </x:c>
      <x:c r="F7" s="32" t="inlineStr">
        <x:is>
          <x:t xml:space="preserve">Service allocation proxy; NOT city-level measured farm diesel</x:t>
        </x:is>
      </x:c>
    </x:row>
    <x:row r="8">
      <x:c r="A8" s="30" t="inlineStr">
        <x:is>
          <x:t xml:space="preserve">Kelowna</x:t>
        </x:is>
      </x:c>
      <x:c r="B8" s="30" t="inlineStr">
        <x:is>
          <x:t xml:space="preserve">Central Okanagan</x:t>
        </x:is>
      </x:c>
      <x:c r="C8" s="44" t="n">
        <x:v>0.75</x:v>
      </x:c>
      <x:c r="D8" s="45" t="n">
        <x:f>INDEX('RD Agriculture'!$L$2:$L$9,MATCH(B8,'RD Agriculture'!$A$2:$A$9,0))*C8</x:f>
        <x:v>1020349.875</x:v>
      </x:c>
      <x:c r="E8" s="46" t="n">
        <x:f>D8*MAX(0,'Farm Coefficients'!$B$11)*'Farm Coefficients'!$B$12</x:f>
        <x:v>255087.46875</x:v>
      </x:c>
      <x:c r="F8" s="30" t="inlineStr">
        <x:is>
          <x:t xml:space="preserve">Service allocation proxy; NOT city-level measured farm diesel</x:t>
        </x:is>
      </x:c>
    </x:row>
    <x:row r="9">
      <x:c r="A9" s="32" t="inlineStr">
        <x:is>
          <x:t xml:space="preserve">West Kelowna</x:t>
        </x:is>
      </x:c>
      <x:c r="B9" s="32" t="inlineStr">
        <x:is>
          <x:t xml:space="preserve">Central Okanagan</x:t>
        </x:is>
      </x:c>
      <x:c r="C9" s="47" t="n">
        <x:v>0.25</x:v>
      </x:c>
      <x:c r="D9" s="48" t="n">
        <x:f>INDEX('RD Agriculture'!$L$2:$L$9,MATCH(B9,'RD Agriculture'!$A$2:$A$9,0))*C9</x:f>
        <x:v>340116.625</x:v>
      </x:c>
      <x:c r="E9" s="49" t="n">
        <x:f>D9*MAX(0,'Farm Coefficients'!$B$11)*'Farm Coefficients'!$B$12</x:f>
        <x:v>85029.15625</x:v>
      </x:c>
      <x:c r="F9" s="32" t="inlineStr">
        <x:is>
          <x:t xml:space="preserve">Service allocation proxy; NOT city-level measured farm diesel</x:t>
        </x:is>
      </x:c>
    </x:row>
    <x:row r="10">
      <x:c r="A10" s="30" t="inlineStr">
        <x:is>
          <x:t xml:space="preserve">Penticton</x:t>
        </x:is>
      </x:c>
      <x:c r="B10" s="30" t="inlineStr">
        <x:is>
          <x:t xml:space="preserve">Okanagan-Similkameen</x:t>
        </x:is>
      </x:c>
      <x:c r="C10" s="44" t="n">
        <x:v>0.45</x:v>
      </x:c>
      <x:c r="D10" s="45" t="n">
        <x:f>INDEX('RD Agriculture'!$L$2:$L$9,MATCH(B10,'RD Agriculture'!$A$2:$A$9,0))*C10</x:f>
        <x:v>1012800.6</x:v>
      </x:c>
      <x:c r="E10" s="46" t="n">
        <x:f>D10*MAX(0,'Farm Coefficients'!$B$11)*'Farm Coefficients'!$B$12</x:f>
        <x:v>253200.15</x:v>
      </x:c>
      <x:c r="F10" s="30" t="inlineStr">
        <x:is>
          <x:t xml:space="preserve">Service allocation proxy; NOT city-level measured farm diesel</x:t>
        </x:is>
      </x:c>
    </x:row>
    <x:row r="11">
      <x:c r="A11" s="32" t="inlineStr">
        <x:is>
          <x:t xml:space="preserve">Oliver</x:t>
        </x:is>
      </x:c>
      <x:c r="B11" s="32" t="inlineStr">
        <x:is>
          <x:t xml:space="preserve">Okanagan-Similkameen</x:t>
        </x:is>
      </x:c>
      <x:c r="C11" s="47" t="n">
        <x:v>0.3</x:v>
      </x:c>
      <x:c r="D11" s="48" t="n">
        <x:f>INDEX('RD Agriculture'!$L$2:$L$9,MATCH(B11,'RD Agriculture'!$A$2:$A$9,0))*C11</x:f>
        <x:v>675200.4</x:v>
      </x:c>
      <x:c r="E11" s="49" t="n">
        <x:f>D11*MAX(0,'Farm Coefficients'!$B$11)*'Farm Coefficients'!$B$12</x:f>
        <x:v>168800.1</x:v>
      </x:c>
      <x:c r="F11" s="32" t="inlineStr">
        <x:is>
          <x:t xml:space="preserve">Service allocation proxy; NOT city-level measured farm diesel</x:t>
        </x:is>
      </x:c>
    </x:row>
    <x:row r="12">
      <x:c r="A12" s="30" t="inlineStr">
        <x:is>
          <x:t xml:space="preserve">Osoyoos</x:t>
        </x:is>
      </x:c>
      <x:c r="B12" s="30" t="inlineStr">
        <x:is>
          <x:t xml:space="preserve">Okanagan-Similkameen</x:t>
        </x:is>
      </x:c>
      <x:c r="C12" s="44" t="n">
        <x:v>0.25</x:v>
      </x:c>
      <x:c r="D12" s="45" t="n">
        <x:f>INDEX('RD Agriculture'!$L$2:$L$9,MATCH(B12,'RD Agriculture'!$A$2:$A$9,0))*C12</x:f>
        <x:v>562667</x:v>
      </x:c>
      <x:c r="E12" s="46" t="n">
        <x:f>D12*MAX(0,'Farm Coefficients'!$B$11)*'Farm Coefficients'!$B$12</x:f>
        <x:v>140666.75</x:v>
      </x:c>
      <x:c r="F12" s="30" t="inlineStr">
        <x:is>
          <x:t xml:space="preserve">Service allocation proxy; NOT city-level measured farm diesel</x:t>
        </x:is>
      </x:c>
    </x:row>
    <x:row r="13">
      <x:c r="A13" s="32" t="inlineStr">
        <x:is>
          <x:t xml:space="preserve">Hope</x:t>
        </x:is>
      </x:c>
      <x:c r="B13" s="32" t="inlineStr">
        <x:is>
          <x:t xml:space="preserve">Fraser Valley</x:t>
        </x:is>
      </x:c>
      <x:c r="C13" s="47" t="n">
        <x:v>0.1</x:v>
      </x:c>
      <x:c r="D13" s="48" t="n">
        <x:f>INDEX('RD Agriculture'!$L$2:$L$9,MATCH(B13,'RD Agriculture'!$A$2:$A$9,0))*C13</x:f>
        <x:v>463437.95</x:v>
      </x:c>
      <x:c r="E13" s="49" t="n">
        <x:f>D13*MAX(0,'Farm Coefficients'!$B$11)*'Farm Coefficients'!$B$12</x:f>
        <x:v>115859.4875</x:v>
      </x:c>
      <x:c r="F13" s="32" t="inlineStr">
        <x:is>
          <x:t xml:space="preserve">Service allocation proxy; NOT city-level measured farm diesel</x:t>
        </x:is>
      </x:c>
    </x:row>
    <x:row r="14">
      <x:c r="A14" s="30" t="inlineStr">
        <x:is>
          <x:t xml:space="preserve">Agassiz / Kent</x:t>
        </x:is>
      </x:c>
      <x:c r="B14" s="30" t="inlineStr">
        <x:is>
          <x:t xml:space="preserve">Fraser Valley</x:t>
        </x:is>
      </x:c>
      <x:c r="C14" s="44" t="n">
        <x:v>0.15</x:v>
      </x:c>
      <x:c r="D14" s="45" t="n">
        <x:f>INDEX('RD Agriculture'!$L$2:$L$9,MATCH(B14,'RD Agriculture'!$A$2:$A$9,0))*C14</x:f>
        <x:v>695156.9249999999</x:v>
      </x:c>
      <x:c r="E14" s="46" t="n">
        <x:f>D14*MAX(0,'Farm Coefficients'!$B$11)*'Farm Coefficients'!$B$12</x:f>
        <x:v>173789.23124999998</x:v>
      </x:c>
      <x:c r="F14" s="30" t="inlineStr">
        <x:is>
          <x:t xml:space="preserve">Service allocation proxy; NOT city-level measured farm diesel</x:t>
        </x:is>
      </x:c>
    </x:row>
    <x:row r="15">
      <x:c r="A15" s="32" t="inlineStr">
        <x:is>
          <x:t xml:space="preserve">Chilliwack</x:t>
        </x:is>
      </x:c>
      <x:c r="B15" s="32" t="inlineStr">
        <x:is>
          <x:t xml:space="preserve">Fraser Valley</x:t>
        </x:is>
      </x:c>
      <x:c r="C15" s="47" t="n">
        <x:v>0.25</x:v>
      </x:c>
      <x:c r="D15" s="48" t="n">
        <x:f>INDEX('RD Agriculture'!$L$2:$L$9,MATCH(B15,'RD Agriculture'!$A$2:$A$9,0))*C15</x:f>
        <x:v>1158594.875</x:v>
      </x:c>
      <x:c r="E15" s="49" t="n">
        <x:f>D15*MAX(0,'Farm Coefficients'!$B$11)*'Farm Coefficients'!$B$12</x:f>
        <x:v>289648.71875</x:v>
      </x:c>
      <x:c r="F15" s="32" t="inlineStr">
        <x:is>
          <x:t xml:space="preserve">Service allocation proxy; NOT city-level measured farm diesel</x:t>
        </x:is>
      </x:c>
    </x:row>
    <x:row r="16">
      <x:c r="A16" s="30" t="inlineStr">
        <x:is>
          <x:t xml:space="preserve">Abbotsford</x:t>
        </x:is>
      </x:c>
      <x:c r="B16" s="30" t="inlineStr">
        <x:is>
          <x:t xml:space="preserve">Fraser Valley</x:t>
        </x:is>
      </x:c>
      <x:c r="C16" s="44" t="n">
        <x:v>0.35</x:v>
      </x:c>
      <x:c r="D16" s="45" t="n">
        <x:f>INDEX('RD Agriculture'!$L$2:$L$9,MATCH(B16,'RD Agriculture'!$A$2:$A$9,0))*C16</x:f>
        <x:v>1622032.825</x:v>
      </x:c>
      <x:c r="E16" s="46" t="n">
        <x:f>D16*MAX(0,'Farm Coefficients'!$B$11)*'Farm Coefficients'!$B$12</x:f>
        <x:v>405508.20625</x:v>
      </x:c>
      <x:c r="F16" s="30" t="inlineStr">
        <x:is>
          <x:t xml:space="preserve">Service allocation proxy; NOT city-level measured farm diesel</x:t>
        </x:is>
      </x:c>
    </x:row>
    <x:row r="17">
      <x:c r="A17" s="32" t="inlineStr">
        <x:is>
          <x:t xml:space="preserve">Mission</x:t>
        </x:is>
      </x:c>
      <x:c r="B17" s="32" t="inlineStr">
        <x:is>
          <x:t xml:space="preserve">Fraser Valley</x:t>
        </x:is>
      </x:c>
      <x:c r="C17" s="47" t="n">
        <x:v>0.15</x:v>
      </x:c>
      <x:c r="D17" s="48" t="n">
        <x:f>INDEX('RD Agriculture'!$L$2:$L$9,MATCH(B17,'RD Agriculture'!$A$2:$A$9,0))*C17</x:f>
        <x:v>695156.9249999999</x:v>
      </x:c>
      <x:c r="E17" s="49" t="n">
        <x:f>D17*MAX(0,'Farm Coefficients'!$B$11)*'Farm Coefficients'!$B$12</x:f>
        <x:v>173789.23124999998</x:v>
      </x:c>
      <x:c r="F17" s="32" t="inlineStr">
        <x:is>
          <x:t xml:space="preserve">Service allocation proxy; NOT city-level measured farm diesel</x:t>
        </x:is>
      </x:c>
    </x:row>
    <x:row r="18">
      <x:c r="A18" s="30" t="inlineStr">
        <x:is>
          <x:t xml:space="preserve">Maple Ridge</x:t>
        </x:is>
      </x:c>
      <x:c r="B18" s="30" t="inlineStr">
        <x:is>
          <x:t xml:space="preserve">Greater Vancouver</x:t>
        </x:is>
      </x:c>
      <x:c r="C18" s="44" t="n">
        <x:v>1</x:v>
      </x:c>
      <x:c r="D18" s="45" t="n">
        <x:f>INDEX('RD Agriculture'!$L$2:$L$9,MATCH(B18,'RD Agriculture'!$A$2:$A$9,0))*C18</x:f>
        <x:v>3939776.5</x:v>
      </x:c>
      <x:c r="E18" s="46" t="n">
        <x:f>D18*MAX(0,'Farm Coefficients'!$B$11)*'Farm Coefficients'!$B$12</x:f>
        <x:v>984944.125</x:v>
      </x:c>
      <x:c r="F18" s="30" t="inlineStr">
        <x:is>
          <x:t xml:space="preserve">Service allocation proxy; NOT city-level measured farm diesel</x:t>
        </x:is>
      </x:c>
    </x:row>
    <x:row r="19">
      <x:c r="A19" s="40" t="inlineStr">
        <x:is>
          <x:t xml:space="preserve">TOTAL</x:t>
        </x:is>
      </x:c>
      <x:c r="B19" s="40" t="inlineStr">
        <x:is>
          <x:t xml:space="preserve"/>
        </x:is>
      </x:c>
      <x:c r="C19" s="50" t="n">
        <x:f>SUM(C2:C18)</x:f>
        <x:v>8</x:v>
      </x:c>
      <x:c r="D19" s="51" t="n">
        <x:f>SUM(D2:D18)</x:f>
        <x:v>18690499.5</x:v>
      </x:c>
      <x:c r="E19" s="52" t="n">
        <x:f>SUM(E2:E18)</x:f>
        <x:v>4672624.875</x:v>
      </x:c>
      <x:c r="F19" s="40" t="inlineStr">
        <x:is>
          <x:t xml:space="preserve">Sum allocated exactly once across eight districts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40" customWidth="1"/>
    <x:col min="2" max="2" width="17" customWidth="1"/>
    <x:col min="3" max="3" width="17" customWidth="1"/>
    <x:col min="4" max="4" width="17" customWidth="1"/>
    <x:col min="5" max="5" width="17" customWidth="1"/>
    <x:col min="6" max="6" width="55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</x:cols>
  <x:sheetData>
    <x:row r="1" ht="38" customHeight="1">
      <x:c r="A1" s="29" t="inlineStr">
        <x:is>
          <x:t xml:space="preserve">Intensity multiplier</x:t>
        </x:is>
      </x:c>
      <x:c r="B1" s="29" t="inlineStr">
        <x:is>
          <x:t xml:space="preserve">Price premium CAD/L</x:t>
        </x:is>
      </x:c>
      <x:c r="C1" s="29" t="inlineStr">
        <x:is>
          <x:t xml:space="preserve">Diesel L/year</x:t>
        </x:is>
      </x:c>
      <x:c r="D1" s="29" t="inlineStr">
        <x:is>
          <x:t xml:space="preserve">Subsidy CAD/year</x:t>
        </x:is>
      </x:c>
      <x:c r="E1" s="29" t="inlineStr">
        <x:is>
          <x:t xml:space="preserve">Phase 1 CAD/year</x:t>
        </x:is>
      </x:c>
      <x:c r="F1" s="29" t="inlineStr">
        <x:is>
          <x:t xml:space="preserve">Status</x:t>
        </x:is>
      </x:c>
    </x:row>
    <x:row r="2">
      <x:c r="A2" s="30" t="n">
        <x:v>0.5</x:v>
      </x:c>
      <x:c r="B2" s="30" t="n">
        <x:v>0.1</x:v>
      </x:c>
      <x:c r="C2" s="30" t="n">
        <x:f>'RD Agriculture'!$L$10*A2</x:f>
        <x:v>9345249.75</x:v>
      </x:c>
      <x:c r="D2" s="30" t="n">
        <x:f>MAX(0,B2)*C2</x:f>
        <x:v>934524.9750000001</x:v>
      </x:c>
      <x:c r="E2" s="30" t="n">
        <x:f>D2*'Editable Inputs'!$B$3</x:f>
        <x:v>467262.48750000005</x:v>
      </x:c>
      <x:c r="F2" s="30" t="inlineStr">
        <x:is>
          <x:t xml:space="preserve">Scenario sensitivity; not market quotations</x:t>
        </x:is>
      </x:c>
    </x:row>
    <x:row r="3">
      <x:c r="A3" s="32" t="n">
        <x:v>0.5</x:v>
      </x:c>
      <x:c r="B3" s="32" t="n">
        <x:v>0.25</x:v>
      </x:c>
      <x:c r="C3" s="32" t="n">
        <x:f>'RD Agriculture'!$L$10*A3</x:f>
        <x:v>9345249.75</x:v>
      </x:c>
      <x:c r="D3" s="32" t="n">
        <x:f>MAX(0,B3)*C3</x:f>
        <x:v>2336312.4375</x:v>
      </x:c>
      <x:c r="E3" s="32" t="n">
        <x:f>D3*'Editable Inputs'!$B$3</x:f>
        <x:v>1168156.21875</x:v>
      </x:c>
      <x:c r="F3" s="32" t="inlineStr">
        <x:is>
          <x:t xml:space="preserve">Scenario sensitivity; not market quotations</x:t>
        </x:is>
      </x:c>
    </x:row>
    <x:row r="4">
      <x:c r="A4" s="30" t="n">
        <x:v>0.5</x:v>
      </x:c>
      <x:c r="B4" s="30" t="n">
        <x:v>0.45</x:v>
      </x:c>
      <x:c r="C4" s="30" t="n">
        <x:f>'RD Agriculture'!$L$10*A4</x:f>
        <x:v>9345249.75</x:v>
      </x:c>
      <x:c r="D4" s="30" t="n">
        <x:f>MAX(0,B4)*C4</x:f>
        <x:v>4205362.3875</x:v>
      </x:c>
      <x:c r="E4" s="30" t="n">
        <x:f>D4*'Editable Inputs'!$B$3</x:f>
        <x:v>2102681.19375</x:v>
      </x:c>
      <x:c r="F4" s="30" t="inlineStr">
        <x:is>
          <x:t xml:space="preserve">Scenario sensitivity; not market quotations</x:t>
        </x:is>
      </x:c>
    </x:row>
    <x:row r="5">
      <x:c r="A5" s="32" t="n">
        <x:v>1</x:v>
      </x:c>
      <x:c r="B5" s="32" t="n">
        <x:v>0.1</x:v>
      </x:c>
      <x:c r="C5" s="32" t="n">
        <x:f>'RD Agriculture'!$L$10*A5</x:f>
        <x:v>18690499.5</x:v>
      </x:c>
      <x:c r="D5" s="32" t="n">
        <x:f>MAX(0,B5)*C5</x:f>
        <x:v>1869049.9500000002</x:v>
      </x:c>
      <x:c r="E5" s="32" t="n">
        <x:f>D5*'Editable Inputs'!$B$3</x:f>
        <x:v>934524.9750000001</x:v>
      </x:c>
      <x:c r="F5" s="32" t="inlineStr">
        <x:is>
          <x:t xml:space="preserve">Scenario sensitivity; not market quotations</x:t>
        </x:is>
      </x:c>
    </x:row>
    <x:row r="6">
      <x:c r="A6" s="30" t="n">
        <x:v>1</x:v>
      </x:c>
      <x:c r="B6" s="30" t="n">
        <x:v>0.25</x:v>
      </x:c>
      <x:c r="C6" s="30" t="n">
        <x:f>'RD Agriculture'!$L$10*A6</x:f>
        <x:v>18690499.5</x:v>
      </x:c>
      <x:c r="D6" s="30" t="n">
        <x:f>MAX(0,B6)*C6</x:f>
        <x:v>4672624.875</x:v>
      </x:c>
      <x:c r="E6" s="30" t="n">
        <x:f>D6*'Editable Inputs'!$B$3</x:f>
        <x:v>2336312.4375</x:v>
      </x:c>
      <x:c r="F6" s="30" t="inlineStr">
        <x:is>
          <x:t xml:space="preserve">Scenario sensitivity; not market quotations</x:t>
        </x:is>
      </x:c>
    </x:row>
    <x:row r="7">
      <x:c r="A7" s="32" t="n">
        <x:v>1</x:v>
      </x:c>
      <x:c r="B7" s="32" t="n">
        <x:v>0.45</x:v>
      </x:c>
      <x:c r="C7" s="32" t="n">
        <x:f>'RD Agriculture'!$L$10*A7</x:f>
        <x:v>18690499.5</x:v>
      </x:c>
      <x:c r="D7" s="32" t="n">
        <x:f>MAX(0,B7)*C7</x:f>
        <x:v>8410724.775</x:v>
      </x:c>
      <x:c r="E7" s="32" t="n">
        <x:f>D7*'Editable Inputs'!$B$3</x:f>
        <x:v>4205362.3875</x:v>
      </x:c>
      <x:c r="F7" s="32" t="inlineStr">
        <x:is>
          <x:t xml:space="preserve">Scenario sensitivity; not market quotations</x:t>
        </x:is>
      </x:c>
    </x:row>
    <x:row r="8">
      <x:c r="A8" s="30" t="n">
        <x:v>1.6</x:v>
      </x:c>
      <x:c r="B8" s="30" t="n">
        <x:v>0.1</x:v>
      </x:c>
      <x:c r="C8" s="30" t="n">
        <x:f>'RD Agriculture'!$L$10*A8</x:f>
        <x:v>29904799.200000003</x:v>
      </x:c>
      <x:c r="D8" s="30" t="n">
        <x:f>MAX(0,B8)*C8</x:f>
        <x:v>2990479.9200000004</x:v>
      </x:c>
      <x:c r="E8" s="30" t="n">
        <x:f>D8*'Editable Inputs'!$B$3</x:f>
        <x:v>1495239.9600000002</x:v>
      </x:c>
      <x:c r="F8" s="30" t="inlineStr">
        <x:is>
          <x:t xml:space="preserve">Scenario sensitivity; not market quotations</x:t>
        </x:is>
      </x:c>
    </x:row>
    <x:row r="9">
      <x:c r="A9" s="32" t="n">
        <x:v>1.6</x:v>
      </x:c>
      <x:c r="B9" s="32" t="n">
        <x:v>0.25</x:v>
      </x:c>
      <x:c r="C9" s="32" t="n">
        <x:f>'RD Agriculture'!$L$10*A9</x:f>
        <x:v>29904799.200000003</x:v>
      </x:c>
      <x:c r="D9" s="32" t="n">
        <x:f>MAX(0,B9)*C9</x:f>
        <x:v>7476199.800000001</x:v>
      </x:c>
      <x:c r="E9" s="32" t="n">
        <x:f>D9*'Editable Inputs'!$B$3</x:f>
        <x:v>3738099.9000000004</x:v>
      </x:c>
      <x:c r="F9" s="32" t="inlineStr">
        <x:is>
          <x:t xml:space="preserve">Scenario sensitivity; not market quotations</x:t>
        </x:is>
      </x:c>
    </x:row>
    <x:row r="10">
      <x:c r="A10" s="30" t="n">
        <x:v>1.6</x:v>
      </x:c>
      <x:c r="B10" s="30" t="n">
        <x:v>0.45</x:v>
      </x:c>
      <x:c r="C10" s="30" t="n">
        <x:f>'RD Agriculture'!$L$10*A10</x:f>
        <x:v>29904799.200000003</x:v>
      </x:c>
      <x:c r="D10" s="30" t="n">
        <x:f>MAX(0,B10)*C10</x:f>
        <x:v>13457159.640000002</x:v>
      </x:c>
      <x:c r="E10" s="30" t="n">
        <x:f>D10*'Editable Inputs'!$B$3</x:f>
        <x:v>6728579.820000001</x:v>
      </x:c>
      <x:c r="F10" s="30" t="inlineStr">
        <x:is>
          <x:t xml:space="preserve">Scenario sensitivity; not market quotations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52" customWidth="1"/>
    <x:col min="2" max="2" width="25" customWidth="1"/>
    <x:col min="3" max="3" width="75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</x:cols>
  <x:sheetData>
    <x:row r="1" ht="38" customHeight="1">
      <x:c r="A1" s="29" t="inlineStr">
        <x:is>
          <x:t xml:space="preserve">MEASURE / RECONCILIATION</x:t>
        </x:is>
      </x:c>
      <x:c r="B1" s="29" t="inlineStr">
        <x:is>
          <x:t xml:space="preserve">VALUE</x:t>
        </x:is>
      </x:c>
      <x:c r="C1" s="29" t="inlineStr">
        <x:is>
          <x:t xml:space="preserve">INTERPRETATION</x:t>
        </x:is>
      </x:c>
    </x:row>
    <x:row r="2">
      <x:c r="A2" s="30" t="inlineStr">
        <x:is>
          <x:t xml:space="preserve">Count of linked 2021 census districts</x:t>
        </x:is>
      </x:c>
      <x:c r="B2" s="30" t="n">
        <x:f>COUNTA('RD Agriculture'!A2:A9)</x:f>
        <x:v>8</x:v>
      </x:c>
      <x:c r="C2" s="30" t="inlineStr">
        <x:is>
          <x:t xml:space="preserve">Regions include farmland outside host municipal boundaries</x:t>
        </x:is>
      </x:c>
    </x:row>
    <x:row r="3">
      <x:c r="A3" s="32" t="inlineStr">
        <x:is>
          <x:t xml:space="preserve">Count of host communities</x:t>
        </x:is>
      </x:c>
      <x:c r="B3" s="32" t="n">
        <x:f>COUNTA('17 Community Allocation'!A2:A18)</x:f>
        <x:v>17</x:v>
      </x:c>
      <x:c r="C3" s="32" t="inlineStr">
        <x:is>
          <x:t xml:space="preserve">Site weights not observed farm distribution</x:t>
        </x:is>
      </x:c>
    </x:row>
    <x:row r="4">
      <x:c r="A4" s="30" t="inlineStr">
        <x:is>
          <x:t xml:space="preserve">Farms in broader 8-RD area</x:t>
        </x:is>
      </x:c>
      <x:c r="B4" s="30" t="n">
        <x:f>'RD Agriculture'!B10</x:f>
        <x:v>9008</x:v>
      </x:c>
      <x:c r="C4" s="30" t="inlineStr">
        <x:is>
          <x:t xml:space="preserve">Farm count official 2021, not 2026</x:t>
        </x:is>
      </x:c>
    </x:row>
    <x:row r="5">
      <x:c r="A5" s="32" t="inlineStr">
        <x:is>
          <x:t xml:space="preserve">Census farmland in broader 8-RD area (ha)</x:t>
        </x:is>
      </x:c>
      <x:c r="B5" s="32" t="n">
        <x:f>'RD Agriculture'!N10</x:f>
        <x:v>794186</x:v>
      </x:c>
      <x:c r="C5" s="32" t="inlineStr">
        <x:is>
          <x:t xml:space="preserve">Includes pasture/natural land; not all ploughed</x:t>
        </x:is>
      </x:c>
    </x:row>
    <x:row r="6">
      <x:c r="A6" s="30" t="inlineStr">
        <x:is>
          <x:t xml:space="preserve">Farming machinery diesel SCREEN litres/year</x:t>
        </x:is>
      </x:c>
      <x:c r="B6" s="30" t="n">
        <x:f>'RD Agriculture'!L10</x:f>
        <x:v>18690499.5</x:v>
      </x:c>
      <x:c r="C6" s="30" t="inlineStr">
        <x:is>
          <x:t xml:space="preserve">Assumptions, NOT volume sales</x:t>
        </x:is>
      </x:c>
    </x:row>
    <x:row r="7">
      <x:c r="A7" s="32" t="inlineStr">
        <x:is>
          <x:t xml:space="preserve">Annual ag price-parity CAD/year</x:t>
        </x:is>
      </x:c>
      <x:c r="B7" s="32" t="n">
        <x:f>'RD Agriculture'!M10</x:f>
        <x:v>4672624.875</x:v>
      </x:c>
      <x:c r="C7" s="32" t="inlineStr">
        <x:is>
          <x:t xml:space="preserve">Max(0, renewable-fossil premium) times replaced L</x:t>
        </x:is>
      </x:c>
    </x:row>
    <x:row r="8">
      <x:c r="A8" s="30" t="inlineStr">
        <x:is>
          <x:t xml:space="preserve">Earlier unverified agriculture allocation L/year</x:t>
        </x:is>
      </x:c>
      <x:c r="B8" s="30" t="n">
        <x:f>'Farm Coefficients'!B16</x:f>
        <x:v>100000000</x:v>
      </x:c>
      <x:c r="C8" s="30" t="inlineStr">
        <x:is>
          <x:t xml:space="preserve">Replaced by farm-sector bottom-up screen</x:t>
        </x:is>
      </x:c>
    </x:row>
    <x:row r="9">
      <x:c r="A9" s="32" t="inlineStr">
        <x:is>
          <x:t xml:space="preserve">Old allocation less screening L/year</x:t>
        </x:is>
      </x:c>
      <x:c r="B9" s="32" t="n">
        <x:f>B8-B6</x:f>
        <x:v>81309500.5</x:v>
      </x:c>
      <x:c r="C9" s="32" t="inlineStr">
        <x:is>
          <x:t xml:space="preserve">Should not be misconstrued as measured excess</x:t>
        </x:is>
      </x:c>
    </x:row>
    <x:row r="10">
      <x:c r="A10" s="30" t="inlineStr">
        <x:is>
          <x:t xml:space="preserve">Full annual community beneficiary value CAD m</x:t>
        </x:is>
      </x:c>
      <x:c r="B10" s="30" t="n">
        <x:f>'Two-phase Benefits'!C19</x:f>
        <x:v>1876.6514349305558</x:v>
      </x:c>
      <x:c r="C10" s="30" t="inlineStr">
        <x:is>
          <x:t xml:space="preserve">Includes vehicle-provision optional scenario</x:t>
        </x:is>
      </x:c>
    </x:row>
    <x:row r="11">
      <x:c r="A11" s="32" t="inlineStr">
        <x:is>
          <x:t xml:space="preserve">Annual program funding CAD m</x:t>
        </x:is>
      </x:c>
      <x:c r="B11" s="32" t="n">
        <x:f>'Two-phase Benefits'!C20</x:f>
        <x:v>1864.9557659450563</x:v>
      </x:c>
      <x:c r="C11" s="32" t="inlineStr">
        <x:is>
          <x:t xml:space="preserve">Finance requirement not audited cash-flow</x:t>
        </x:is>
      </x:c>
    </x:row>
    <x:row r="12">
      <x:c r="A12" s="30" t="inlineStr">
        <x:is>
          <x:t xml:space="preserve">No free household electricity</x:t>
        </x:is>
      </x:c>
      <x:c r="B12" s="30" t="n">
        <x:f>'Two-phase Benefits'!C18</x:f>
        <x:v>0</x:v>
      </x:c>
      <x:c r="C12" s="30" t="inlineStr">
        <x:is>
          <x:t xml:space="preserve">Confirmed zero</x:t>
        </x:is>
      </x:c>
    </x:row>
    <x:row r="13">
      <x:c r="A13" s="32" t="inlineStr">
        <x:is>
          <x:t xml:space="preserve">Food 146/46-kg entitlements preserved</x:t>
        </x:is>
      </x:c>
      <x:c r="B13" s="32" t="n">
        <x:f>'Food Entitlement Summary'!D7</x:f>
        <x:v>151283.328</x:v>
      </x:c>
      <x:c r="C13" s="32" t="inlineStr">
        <x:is>
          <x:t xml:space="preserve">Tonnes of produce + seafood combined</x:t>
        </x:is>
      </x:c>
    </x:row>
    <x:row r="14">
      <x:c r="A14" s="30" t="inlineStr">
        <x:is>
          <x:t xml:space="preserve">Fossil diesel direct combustion t CO2/year</x:t>
        </x:is>
      </x:c>
      <x:c r="B14" s="30" t="n">
        <x:f>'RD Agriculture'!L10*'Farm Coefficients'!B13/1000</x:f>
        <x:v>50109.229159500006</x:v>
      </x:c>
      <x:c r="C14" s="30" t="inlineStr">
        <x:is>
          <x:t xml:space="preserve">Comparator only; fuel lifecycle reductions NOT calculated</x:t>
        </x:is>
      </x:c>
    </x:row>
  </x:sheetData>
  <x:pageMargins left="0.7" right="0.7" top="0.75" bottom="0.75" header="0.3" footer="0.3"/>
</x:worksheet>
</file>