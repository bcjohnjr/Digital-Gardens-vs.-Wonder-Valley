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ditable Inputs" sheetId="1" state="visible" r:id="rId1"/>
    <sheet xmlns:r="http://schemas.openxmlformats.org/officeDocument/2006/relationships" name="Two-phase Benefits" sheetId="2" state="visible" r:id="rId2"/>
    <sheet xmlns:r="http://schemas.openxmlformats.org/officeDocument/2006/relationships" name="PUE Utilisation" sheetId="3" state="visible" r:id="rId3"/>
    <sheet xmlns:r="http://schemas.openxmlformats.org/officeDocument/2006/relationships" name="Food Entitlement Summary" sheetId="4" state="visible" r:id="rId4"/>
    <sheet xmlns:r="http://schemas.openxmlformats.org/officeDocument/2006/relationships" name="Sources and limits" sheetId="5" state="visible" r:id="rId5"/>
    <sheet xmlns:r="http://schemas.openxmlformats.org/officeDocument/2006/relationships" name="Farm Coefficients" sheetId="6" state="visible" r:id="rId6"/>
    <sheet xmlns:r="http://schemas.openxmlformats.org/officeDocument/2006/relationships" name="RD Agriculture" sheetId="7" state="visible" r:id="rId7"/>
    <sheet xmlns:r="http://schemas.openxmlformats.org/officeDocument/2006/relationships" name="17 Community Allocation" sheetId="8" state="visible" r:id="rId8"/>
    <sheet xmlns:r="http://schemas.openxmlformats.org/officeDocument/2006/relationships" name="Fuel Sensitivity" sheetId="9" state="visible" r:id="rId9"/>
    <sheet xmlns:r="http://schemas.openxmlformats.org/officeDocument/2006/relationships" name="Agricultural Summary" sheetId="10" state="visible" r:id="rId10"/>
  </sheets>
  <definedNames>
    <definedName name="_xlnm._FilterDatabase" localSheetId="5" hidden="1">'Farm Coefficients'!$A$1:$D$16</definedName>
    <definedName name="_xlnm._FilterDatabase" localSheetId="6" hidden="1">'RD Agriculture'!$A$1:$O$10</definedName>
    <definedName name="_xlnm._FilterDatabase" localSheetId="7" hidden="1">'17 Community Allocation'!$A$1:$F$19</definedName>
    <definedName name="_xlnm._FilterDatabase" localSheetId="8" hidden="1">'Fuel Sensitivity'!$A$1:$F$10</definedName>
    <definedName name="_xlnm._FilterDatabase" localSheetId="9" hidden="1">'Agricultural Summary'!$A$1:$C$14</definedName>
  </definedNames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[Red](#,##0.00);-"/>
    <numFmt numFmtId="166" formatCode="#,##0.0"/>
    <numFmt numFmtId="167" formatCode="$#,##0"/>
  </numFmts>
  <fonts count="5">
    <font>
      <name val="Carlito"/>
      <sz val="11"/>
    </font>
    <font>
      <name val="Carlito"/>
      <b val="1"/>
      <color rgb="FFFFFFFF"/>
      <sz val="11"/>
    </font>
    <font>
      <name val="Carlito"/>
      <color rgb="FF008000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DCEBF5"/>
      </patternFill>
    </fill>
    <fill>
      <patternFill patternType="solid">
        <fgColor rgb="FFEAF4F1"/>
      </patternFill>
    </fill>
    <fill>
      <patternFill patternType="solid">
        <fgColor rgb="FF123052"/>
      </patternFill>
    </fill>
    <fill>
      <patternFill patternType="solid">
        <fgColor rgb="0017334C"/>
      </patternFill>
    </fill>
    <fill>
      <patternFill patternType="solid">
        <fgColor rgb="00EFF4F8"/>
      </patternFill>
    </fill>
    <fill>
      <patternFill patternType="solid">
        <fgColor rgb="00DDF2E7"/>
      </patternFill>
    </fill>
  </fills>
  <borders count="2">
    <border/>
    <border/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0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165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5" fontId="0" fillId="3" borderId="1" pivotButton="0" quotePrefix="0" xfId="0"/>
    <xf numFmtId="165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3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top"/>
    </xf>
    <xf numFmtId="4" fontId="0" fillId="6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6" fontId="0" fillId="6" borderId="0" applyAlignment="1" pivotButton="0" quotePrefix="0" xfId="0">
      <alignment vertical="top"/>
    </xf>
    <xf numFmtId="166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/>
    </xf>
    <xf numFmtId="166" fontId="4" fillId="7" borderId="0" applyAlignment="1" pivotButton="0" quotePrefix="0" xfId="0">
      <alignment vertical="top"/>
    </xf>
    <xf numFmtId="166" fontId="4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9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/>
    </xf>
    <xf numFmtId="167" fontId="0" fillId="6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9" fontId="4" fillId="7" borderId="0" applyAlignment="1" pivotButton="0" quotePrefix="0" xfId="0">
      <alignment vertical="top"/>
    </xf>
    <xf numFmtId="3" fontId="4" fillId="7" borderId="0" applyAlignment="1" pivotButton="0" quotePrefix="0" xfId="0">
      <alignment vertical="top"/>
    </xf>
    <xf numFmtId="167" fontId="4" fillId="7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48" customWidth="1" min="4" max="4"/>
  </cols>
  <sheetData>
    <row r="1" ht="28" customHeight="1">
      <c r="A1" s="9" t="inlineStr">
        <is>
          <t>INPUT / ASSUMPTION</t>
        </is>
      </c>
      <c r="B1" s="9" t="inlineStr">
        <is>
          <t>VALUE</t>
        </is>
      </c>
      <c r="C1" s="9" t="inlineStr">
        <is>
          <t>UNIT</t>
        </is>
      </c>
      <c r="D1" s="9" t="inlineStr">
        <is>
          <t>EVIDENCE STATUS</t>
        </is>
      </c>
    </row>
    <row r="2">
      <c r="A2" t="inlineStr">
        <is>
          <t>Two-phase cumulative residents</t>
        </is>
      </c>
      <c r="B2" t="n">
        <v>787934</v>
      </c>
      <c r="C2" t="inlineStr">
        <is>
          <t>people</t>
        </is>
      </c>
      <c r="D2" t="inlineStr">
        <is>
          <t>Author supplied planning population</t>
        </is>
      </c>
    </row>
    <row r="3">
      <c r="A3" t="inlineStr">
        <is>
          <t>Phase 1 fraction</t>
        </is>
      </c>
      <c r="B3" t="n">
        <v>0.5</v>
      </c>
      <c r="C3" t="inlineStr">
        <is>
          <t>fraction</t>
        </is>
      </c>
      <c r="D3" t="inlineStr">
        <is>
          <t>50% assumed; phase breakdown unverified</t>
        </is>
      </c>
    </row>
    <row r="4">
      <c r="A4" t="inlineStr">
        <is>
          <t>Residents per household</t>
        </is>
      </c>
      <c r="B4" t="n">
        <v>2.4</v>
      </c>
      <c r="C4" t="inlineStr">
        <is>
          <t>persons</t>
        </is>
      </c>
      <c r="D4" t="inlineStr">
        <is>
          <t>Statistics Canada B.C. 2021 census</t>
        </is>
      </c>
    </row>
    <row r="5">
      <c r="A5" t="inlineStr">
        <is>
          <t>Vehicle provision eligibility</t>
        </is>
      </c>
      <c r="B5" t="n">
        <v>0.9</v>
      </c>
      <c r="C5" t="inlineStr">
        <is>
          <t>share of households</t>
        </is>
      </c>
      <c r="D5" t="inlineStr">
        <is>
          <t>Hypothetical optional provision</t>
        </is>
      </c>
    </row>
    <row r="6">
      <c r="A6" t="inlineStr">
        <is>
          <t>Acquisition cost per EV</t>
        </is>
      </c>
      <c r="B6" t="n">
        <v>38000</v>
      </c>
      <c r="C6" t="inlineStr">
        <is>
          <t>CAD</t>
        </is>
      </c>
      <c r="D6" t="inlineStr">
        <is>
          <t>Illustrative; not a vendor quote</t>
        </is>
      </c>
    </row>
    <row r="7">
      <c r="A7" t="inlineStr">
        <is>
          <t>Replacement cycle</t>
        </is>
      </c>
      <c r="B7" t="n">
        <v>12</v>
      </c>
      <c r="C7" t="inlineStr">
        <is>
          <t>years</t>
        </is>
      </c>
      <c r="D7" t="inlineStr">
        <is>
          <t>Illustrative</t>
        </is>
      </c>
    </row>
    <row r="8">
      <c r="A8" t="inlineStr">
        <is>
          <t>Vehicle financing rate</t>
        </is>
      </c>
      <c r="B8" t="n">
        <v>0.05</v>
      </c>
      <c r="C8" t="inlineStr">
        <is>
          <t>annual fraction</t>
        </is>
      </c>
      <c r="D8" t="inlineStr">
        <is>
          <t>Illustrative</t>
        </is>
      </c>
    </row>
    <row r="9">
      <c r="A9" t="inlineStr">
        <is>
          <t>Free EV charging participation</t>
        </is>
      </c>
      <c r="B9" t="n">
        <v>0.85</v>
      </c>
      <c r="C9" t="inlineStr">
        <is>
          <t>share of households</t>
        </is>
      </c>
      <c r="D9" t="inlineStr">
        <is>
          <t>Illustrative</t>
        </is>
      </c>
    </row>
    <row r="10">
      <c r="A10" t="inlineStr">
        <is>
          <t>Annual distance</t>
        </is>
      </c>
      <c r="B10" t="n">
        <v>12000</v>
      </c>
      <c r="C10" t="inlineStr">
        <is>
          <t>km per EV</t>
        </is>
      </c>
      <c r="D10" t="inlineStr">
        <is>
          <t>Illustrative</t>
        </is>
      </c>
    </row>
    <row r="11">
      <c r="A11" t="inlineStr">
        <is>
          <t>EV energy at battery</t>
        </is>
      </c>
      <c r="B11" t="n">
        <v>0.19</v>
      </c>
      <c r="C11" t="inlineStr">
        <is>
          <t>kWh/km</t>
        </is>
      </c>
      <c r="D11" t="inlineStr">
        <is>
          <t>Illustrative</t>
        </is>
      </c>
    </row>
    <row r="12">
      <c r="A12" t="inlineStr">
        <is>
          <t>Charging losses</t>
        </is>
      </c>
      <c r="B12" t="n">
        <v>0.1</v>
      </c>
      <c r="C12" t="inlineStr">
        <is>
          <t>fraction of metered energy</t>
        </is>
      </c>
      <c r="D12" t="inlineStr">
        <is>
          <t>Illustrative; charger electricity / (1-loss)</t>
        </is>
      </c>
    </row>
    <row r="13">
      <c r="A13" t="inlineStr">
        <is>
          <t>Equivalent public charging value</t>
        </is>
      </c>
      <c r="B13" t="n">
        <v>0.35</v>
      </c>
      <c r="C13" t="inlineStr">
        <is>
          <t>CAD/kWh</t>
        </is>
      </c>
      <c r="D13" t="inlineStr">
        <is>
          <t>Illustrative between B.C. Hydro 2026 charger rates</t>
        </is>
      </c>
    </row>
    <row r="14">
      <c r="A14" t="inlineStr">
        <is>
          <t>Electricity procurement cost</t>
        </is>
      </c>
      <c r="B14" t="n">
        <v>0.14</v>
      </c>
      <c r="C14" t="inlineStr">
        <is>
          <t>CAD/kWh</t>
        </is>
      </c>
      <c r="D14" t="inlineStr">
        <is>
          <t>Illustrative not a regulated tariff</t>
        </is>
      </c>
    </row>
    <row r="15">
      <c r="A15" t="inlineStr">
        <is>
          <t>Charger operating/maintenance cost</t>
        </is>
      </c>
      <c r="B15" t="n">
        <v>0.05</v>
      </c>
      <c r="C15" t="inlineStr">
        <is>
          <t>CAD/kWh</t>
        </is>
      </c>
      <c r="D15" t="inlineStr">
        <is>
          <t>Illustrative</t>
        </is>
      </c>
    </row>
    <row r="16">
      <c r="A16" t="inlineStr">
        <is>
          <t>Simultaneous charging share</t>
        </is>
      </c>
      <c r="B16" t="n">
        <v>0.06</v>
      </c>
      <c r="C16" t="inlineStr">
        <is>
          <t>fraction of enrolled EVs</t>
        </is>
      </c>
      <c r="D16" t="inlineStr">
        <is>
          <t>Illustrative coincidence proxy</t>
        </is>
      </c>
    </row>
    <row r="17">
      <c r="A17" t="inlineStr">
        <is>
          <t>AC charger nominal power</t>
        </is>
      </c>
      <c r="B17" t="n">
        <v>7.2</v>
      </c>
      <c r="C17" t="inlineStr">
        <is>
          <t>kW/charger</t>
        </is>
      </c>
      <c r="D17" t="inlineStr">
        <is>
          <t>Illustrative</t>
        </is>
      </c>
    </row>
    <row r="18">
      <c r="A18" t="inlineStr">
        <is>
          <t>Greenhouse production</t>
        </is>
      </c>
      <c r="B18" t="n">
        <v>250000</v>
      </c>
      <c r="C18" t="inlineStr">
        <is>
          <t>tonnes/year</t>
        </is>
      </c>
      <c r="D18" t="inlineStr">
        <is>
          <t>Expansion scenario model</t>
        </is>
      </c>
    </row>
    <row r="19">
      <c r="A19" t="inlineStr">
        <is>
          <t>Guaranteed fresh produce per resident</t>
        </is>
      </c>
      <c r="B19" t="n">
        <v>146</v>
      </c>
      <c r="C19" t="inlineStr">
        <is>
          <t>kg/resident/year</t>
        </is>
      </c>
      <c r="D19" t="inlineStr">
        <is>
          <t>Author-specified annual in-kind entitlement; full uptake assumed</t>
        </is>
      </c>
    </row>
    <row r="20">
      <c r="A20" t="inlineStr">
        <is>
          <t>Greenhouse retail-equivalent price</t>
        </is>
      </c>
      <c r="B20" t="n">
        <v>3.5</v>
      </c>
      <c r="C20" t="inlineStr">
        <is>
          <t>CAD/kg</t>
        </is>
      </c>
      <c r="D20" t="inlineStr">
        <is>
          <t>Illustrative</t>
        </is>
      </c>
    </row>
    <row r="21">
      <c r="A21" t="inlineStr">
        <is>
          <t>Seafood production</t>
        </is>
      </c>
      <c r="B21" t="n">
        <v>120000</v>
      </c>
      <c r="C21" t="inlineStr">
        <is>
          <t>tonnes/year</t>
        </is>
      </c>
      <c r="D21" t="inlineStr">
        <is>
          <t>Expansion scenario model</t>
        </is>
      </c>
    </row>
    <row r="22">
      <c r="A22" t="inlineStr">
        <is>
          <t>Guaranteed seafood per resident</t>
        </is>
      </c>
      <c r="B22" t="n">
        <v>46</v>
      </c>
      <c r="C22" t="inlineStr">
        <is>
          <t>kg/resident/year</t>
        </is>
      </c>
      <c r="D22" t="inlineStr">
        <is>
          <t>Author-specified annual in-kind entitlement; full uptake assumed</t>
        </is>
      </c>
    </row>
    <row r="23">
      <c r="A23" t="inlineStr">
        <is>
          <t>Seafood retail-equivalent price</t>
        </is>
      </c>
      <c r="B23" t="n">
        <v>7</v>
      </c>
      <c r="C23" t="inlineStr">
        <is>
          <t>CAD/kg</t>
        </is>
      </c>
      <c r="D23" t="inlineStr">
        <is>
          <t>Illustrative</t>
        </is>
      </c>
    </row>
    <row r="24">
      <c r="A24" t="inlineStr">
        <is>
          <t>Food fulfilment cost fraction</t>
        </is>
      </c>
      <c r="B24" t="n">
        <v>0.65</v>
      </c>
      <c r="C24" t="inlineStr">
        <is>
          <t>fraction of market value</t>
        </is>
      </c>
      <c r="D24" t="inlineStr">
        <is>
          <t>Illustrative, not audited</t>
        </is>
      </c>
    </row>
    <row r="25">
      <c r="A25" t="inlineStr">
        <is>
          <t>Eligible agricultural fuel (8 regional district baseline)</t>
        </is>
      </c>
      <c r="B25">
        <f>'RD Agriculture'!L10</f>
        <v/>
      </c>
      <c r="C25" t="inlineStr">
        <is>
          <t>L/year</t>
        </is>
      </c>
      <c r="D25" t="inlineStr">
        <is>
          <t>2021 census areas times scenario machinery fuel intensities, NOT measured municipal sales. See RD Agriculture.</t>
        </is>
      </c>
    </row>
    <row r="26">
      <c r="A26" t="inlineStr">
        <is>
          <t>Eligible other renewable fuel</t>
        </is>
      </c>
      <c r="B26" t="n">
        <v>180000000</v>
      </c>
      <c r="C26" t="inlineStr">
        <is>
          <t>L/year</t>
        </is>
      </c>
      <c r="D26" t="inlineStr">
        <is>
          <t>Unverified proposed volume</t>
        </is>
      </c>
    </row>
    <row r="27">
      <c r="A27" t="inlineStr">
        <is>
          <t>Agricultural renewable-fossil gap</t>
        </is>
      </c>
      <c r="B27" t="n">
        <v>0.25</v>
      </c>
      <c r="C27" t="inlineStr">
        <is>
          <t>CAD/L</t>
        </is>
      </c>
      <c r="D27" t="inlineStr">
        <is>
          <t>Scenario differential; must be tested</t>
        </is>
      </c>
    </row>
    <row r="28">
      <c r="A28" t="inlineStr">
        <is>
          <t>Other renewable-fossil gap</t>
        </is>
      </c>
      <c r="B28" t="n">
        <v>0.18</v>
      </c>
      <c r="C28" t="inlineStr">
        <is>
          <t>CAD/L</t>
        </is>
      </c>
      <c r="D28" t="inlineStr">
        <is>
          <t>Scenario differential; must be tested</t>
        </is>
      </c>
    </row>
    <row r="29">
      <c r="A29" t="inlineStr">
        <is>
          <t>Eligible fruit in drying discount</t>
        </is>
      </c>
      <c r="B29" t="n">
        <v>5000</v>
      </c>
      <c r="C29" t="inlineStr">
        <is>
          <t>tonnes/year</t>
        </is>
      </c>
      <c r="D29" t="inlineStr">
        <is>
          <t>Illustrative</t>
        </is>
      </c>
    </row>
    <row r="30">
      <c r="A30" t="inlineStr">
        <is>
          <t>Dryer service discount</t>
        </is>
      </c>
      <c r="B30" t="n">
        <v>25</v>
      </c>
      <c r="C30" t="inlineStr">
        <is>
          <t>CAD/tonne</t>
        </is>
      </c>
      <c r="D30" t="inlineStr">
        <is>
          <t>Illustrative</t>
        </is>
      </c>
    </row>
    <row r="31">
      <c r="A31" t="inlineStr">
        <is>
          <t>Mature community target</t>
        </is>
      </c>
      <c r="B31" t="n">
        <v>4600000000</v>
      </c>
      <c r="C31" t="inlineStr">
        <is>
          <t>CAD/year</t>
        </is>
      </c>
      <c r="D31" t="inlineStr">
        <is>
          <t>Proponent aspiration; not financed</t>
        </is>
      </c>
    </row>
    <row r="32">
      <c r="A32" t="inlineStr">
        <is>
          <t>Installed IT power</t>
        </is>
      </c>
      <c r="B32" t="n">
        <v>3624.51</v>
      </c>
      <c r="C32" t="inlineStr">
        <is>
          <t>MW IT</t>
        </is>
      </c>
      <c r="D32" t="inlineStr">
        <is>
          <t>Digital Gardens mature concept</t>
        </is>
      </c>
    </row>
    <row r="33">
      <c r="A33" t="inlineStr">
        <is>
          <t>Heat capture from operating IT</t>
        </is>
      </c>
      <c r="B33" t="n">
        <v>0.85</v>
      </c>
      <c r="C33" t="inlineStr">
        <is>
          <t>fraction</t>
        </is>
      </c>
      <c r="D33" t="inlineStr">
        <is>
          <t>Author assumption</t>
        </is>
      </c>
    </row>
    <row r="34">
      <c r="A34" t="inlineStr">
        <is>
          <t>Potential use of captured heat</t>
        </is>
      </c>
      <c r="B34" t="n">
        <v>0.6</v>
      </c>
      <c r="C34" t="inlineStr">
        <is>
          <t>fraction</t>
        </is>
      </c>
      <c r="D34" t="inlineStr">
        <is>
          <t>Author assumption</t>
        </is>
      </c>
    </row>
    <row r="35">
      <c r="A35" t="inlineStr">
        <is>
          <t>Electricity CO2 intensity</t>
        </is>
      </c>
      <c r="B35" t="n">
        <v>50</v>
      </c>
      <c r="C35" t="inlineStr">
        <is>
          <t>kg CO2e/MWh</t>
        </is>
      </c>
      <c r="D35" t="inlineStr">
        <is>
          <t>Scenario only</t>
        </is>
      </c>
    </row>
    <row r="36">
      <c r="A36" t="inlineStr">
        <is>
          <t>Marketable fresh-produce fraction</t>
        </is>
      </c>
      <c r="B36" t="n">
        <v>0.9</v>
      </c>
      <c r="C36" t="inlineStr">
        <is>
          <t>fraction of greenhouse gross harvest</t>
        </is>
      </c>
      <c r="D36" t="inlineStr">
        <is>
          <t>Screening assumption for grade and loss; not measured</t>
        </is>
      </c>
    </row>
    <row r="37">
      <c r="A37" t="inlineStr">
        <is>
          <t>Marketable seafood yield fraction</t>
        </is>
      </c>
      <c r="B37" t="n">
        <v>0.65</v>
      </c>
      <c r="C37" t="inlineStr">
        <is>
          <t>fraction of whole aquaculture live weight</t>
        </is>
      </c>
      <c r="D37" t="inlineStr">
        <is>
          <t>Illustrative edible market-product recovery; species mix matters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51" customWidth="1" min="1" max="1"/>
    <col width="24" customWidth="1" min="2" max="2"/>
    <col width="24" customWidth="1" min="3" max="3"/>
    <col width="62" customWidth="1" min="4" max="4"/>
  </cols>
  <sheetData>
    <row r="1" ht="28" customHeight="1">
      <c r="A1" s="9" t="inlineStr">
        <is>
          <t>ANNUAL BENEFIT COMPONENT</t>
        </is>
      </c>
      <c r="B1" s="9" t="inlineStr">
        <is>
          <t>PHASE 1 (CALC)</t>
        </is>
      </c>
      <c r="C1" s="9" t="inlineStr">
        <is>
          <t>PHASE 2 (CALC)</t>
        </is>
      </c>
      <c r="D1" s="9" t="inlineStr">
        <is>
          <t>MODEL BOUNDARY / NOTE</t>
        </is>
      </c>
    </row>
    <row r="2">
      <c r="A2" t="inlineStr">
        <is>
          <t>Population (cumulative)</t>
        </is>
      </c>
      <c r="B2" s="24">
        <f>'Editable Inputs'!$B$2*'Editable Inputs'!$B$3</f>
        <v/>
      </c>
      <c r="C2" s="24">
        <f>'Editable Inputs'!$B$2*1</f>
        <v/>
      </c>
      <c r="D2" t="inlineStr">
        <is>
          <t>Two phases are cumulative, not additive populations.</t>
        </is>
      </c>
    </row>
    <row r="3">
      <c r="A3" t="inlineStr">
        <is>
          <t>Households</t>
        </is>
      </c>
      <c r="B3" s="24">
        <f>B2/'Editable Inputs'!$B$4</f>
        <v/>
      </c>
      <c r="C3" s="24">
        <f>C2/'Editable Inputs'!$B$4</f>
        <v/>
      </c>
      <c r="D3" t="inlineStr">
        <is>
          <t>B.C. 2021 census 2.4 residents per household.</t>
        </is>
      </c>
    </row>
    <row r="4">
      <c r="A4" t="inlineStr">
        <is>
          <t>Eligible provisioned EVs</t>
        </is>
      </c>
      <c r="B4" s="24">
        <f>B3*'Editable Inputs'!$B$5</f>
        <v/>
      </c>
      <c r="C4" s="24">
        <f>C3*'Editable Inputs'!$B$5</f>
        <v/>
      </c>
      <c r="D4" t="inlineStr">
        <is>
          <t>Optional vehicle provision, not confirmed.</t>
        </is>
      </c>
    </row>
    <row r="5">
      <c r="A5" t="inlineStr">
        <is>
          <t>Free-charging EVs</t>
        </is>
      </c>
      <c r="B5" s="24">
        <f>B3*'Editable Inputs'!$B$9</f>
        <v/>
      </c>
      <c r="C5" s="24">
        <f>C3*'Editable Inputs'!$B$9</f>
        <v/>
      </c>
      <c r="D5" t="inlineStr">
        <is>
          <t>Free charging only; not household electricity.</t>
        </is>
      </c>
    </row>
    <row r="6">
      <c r="A6" t="inlineStr">
        <is>
          <t>EV public charging GWh/year</t>
        </is>
      </c>
      <c r="B6" s="24">
        <f>B5*'Editable Inputs'!$B$10*'Editable Inputs'!$B$11/(1-'Editable Inputs'!$B$12)/1000000</f>
        <v/>
      </c>
      <c r="C6" s="24">
        <f>C5*'Editable Inputs'!$B$10*'Editable Inputs'!$B$11/(1-'Editable Inputs'!$B$12)/1000000</f>
        <v/>
      </c>
      <c r="D6" t="inlineStr">
        <is>
          <t>This is electricity bought/provided to chargers; must add to grid load.</t>
        </is>
      </c>
    </row>
    <row r="7">
      <c r="A7" t="inlineStr">
        <is>
          <t>Mean EV charging MW</t>
        </is>
      </c>
      <c r="B7" s="24">
        <f>B6*1000/8760</f>
        <v/>
      </c>
      <c r="C7" s="24">
        <f>C6*1000/8760</f>
        <v/>
      </c>
      <c r="D7" t="inlineStr">
        <is>
          <t>Annual average; not a transmission interconnection study.</t>
        </is>
      </c>
    </row>
    <row r="8">
      <c r="A8" t="inlineStr">
        <is>
          <t>Conditional coincident EV charging MW</t>
        </is>
      </c>
      <c r="B8" s="24">
        <f>B5*'Editable Inputs'!$B$16*'Editable Inputs'!$B$17/1000</f>
        <v/>
      </c>
      <c r="C8" s="24">
        <f>C5*'Editable Inputs'!$B$16*'Editable Inputs'!$B$17/1000</f>
        <v/>
      </c>
      <c r="D8" t="inlineStr">
        <is>
          <t>6% simultaneity proxy, not hourly dispatch.</t>
        </is>
      </c>
    </row>
    <row r="9">
      <c r="A9" t="inlineStr">
        <is>
          <t>EV fleet value annual equivalent CAD m</t>
        </is>
      </c>
      <c r="B9" s="24">
        <f>B4*'Editable Inputs'!$B$6/'Editable Inputs'!$B$7/1000000</f>
        <v/>
      </c>
      <c r="C9" s="24">
        <f>C4*'Editable Inputs'!$B$6/'Editable Inputs'!$B$7/1000000</f>
        <v/>
      </c>
      <c r="D9" t="inlineStr">
        <is>
          <t>Straight-line asset value, not a yearly cash transfer.</t>
        </is>
      </c>
    </row>
    <row r="10">
      <c r="A10" t="inlineStr">
        <is>
          <t>EV fleet financing annual CAD m</t>
        </is>
      </c>
      <c r="B10" s="24">
        <f>B4*'Editable Inputs'!$B$6*('Editable Inputs'!$B$8*(1+'Editable Inputs'!$B$8)^'Editable Inputs'!$B$7)/((1+'Editable Inputs'!$B$8)^'Editable Inputs'!$B$7-1)/1000000</f>
        <v/>
      </c>
      <c r="C10" s="24">
        <f>C4*'Editable Inputs'!$B$6*('Editable Inputs'!$B$8*(1+'Editable Inputs'!$B$8)^'Editable Inputs'!$B$7)/((1+'Editable Inputs'!$B$8)^'Editable Inputs'!$B$7-1)/1000000</f>
        <v/>
      </c>
      <c r="D10" t="inlineStr">
        <is>
          <t>5% annuity over 12 years; annual funding differs from value.</t>
        </is>
      </c>
    </row>
    <row r="11">
      <c r="A11" t="inlineStr">
        <is>
          <t>Charging retail-equivalent value CAD m</t>
        </is>
      </c>
      <c r="B11" s="24">
        <f>B6*'Editable Inputs'!$B$13</f>
        <v/>
      </c>
      <c r="C11" s="24">
        <f>C6*'Editable Inputs'!$B$13</f>
        <v/>
      </c>
      <c r="D11" t="inlineStr">
        <is>
          <t>Retail-equivalent free charging service value.</t>
        </is>
      </c>
    </row>
    <row r="12">
      <c r="A12" t="inlineStr">
        <is>
          <t>Charging electricity+operations cost CAD m</t>
        </is>
      </c>
      <c r="B12" s="24">
        <f>B6*('Editable Inputs'!$B$14+'Editable Inputs'!$B$15)</f>
        <v/>
      </c>
      <c r="C12" s="24">
        <f>C6*('Editable Inputs'!$B$14+'Editable Inputs'!$B$15)</f>
        <v/>
      </c>
      <c r="D12" t="inlineStr">
        <is>
          <t>Costs are illustrative energy + operations, excluding infrastructure.</t>
        </is>
      </c>
    </row>
    <row r="13">
      <c r="A13" t="inlineStr">
        <is>
          <t>Greenhouse food market value CAD m</t>
        </is>
      </c>
      <c r="B13" s="24">
        <f>B2*'Editable Inputs'!$B$19*'Editable Inputs'!$B$20/1000000</f>
        <v/>
      </c>
      <c r="C13" s="24">
        <f>C2*'Editable Inputs'!$B$19*'Editable Inputs'!$B$20/1000000</f>
        <v/>
      </c>
      <c r="D13" t="inlineStr">
        <is>
          <t>146 kg/year per resident at assumed produce price; conditional.</t>
        </is>
      </c>
    </row>
    <row r="14">
      <c r="A14" t="inlineStr">
        <is>
          <t>Seafood market value CAD m</t>
        </is>
      </c>
      <c r="B14" s="24">
        <f>B2*'Editable Inputs'!$B$22*'Editable Inputs'!$B$23/1000000</f>
        <v/>
      </c>
      <c r="C14" s="24">
        <f>C2*'Editable Inputs'!$B$22*'Editable Inputs'!$B$23/1000000</f>
        <v/>
      </c>
      <c r="D14" t="inlineStr">
        <is>
          <t>46 kg/year per resident at assumed seafood price; conditional.</t>
        </is>
      </c>
    </row>
    <row r="15">
      <c r="A15" t="inlineStr">
        <is>
          <t>Agriculture fuel price-parity subsidy CAD m</t>
        </is>
      </c>
      <c r="B15" s="24">
        <f>'Editable Inputs'!$B$25*MAX(0,'Editable Inputs'!$B$27)*(B2/'Editable Inputs'!$B$2)/1000000</f>
        <v/>
      </c>
      <c r="C15" s="24">
        <f>'Editable Inputs'!$B$25*MAX(0,'Editable Inputs'!$B$27)*(C2/'Editable Inputs'!$B$2)/1000000</f>
        <v/>
      </c>
      <c r="D15" t="inlineStr">
        <is>
          <t>max(0, renewable landed price - fossil parity)*L.</t>
        </is>
      </c>
    </row>
    <row r="16">
      <c r="A16" t="inlineStr">
        <is>
          <t>Other fuel price-parity subsidy CAD m</t>
        </is>
      </c>
      <c r="B16" s="24">
        <f>'Editable Inputs'!$B$26*MAX(0,'Editable Inputs'!$B$28)*(B2/'Editable Inputs'!$B$2)/1000000</f>
        <v/>
      </c>
      <c r="C16" s="24">
        <f>'Editable Inputs'!$B$26*MAX(0,'Editable Inputs'!$B$28)*(C2/'Editable Inputs'!$B$2)/1000000</f>
        <v/>
      </c>
      <c r="D16" t="inlineStr">
        <is>
          <t>No subsidy if renewable cheaper than fossil.</t>
        </is>
      </c>
    </row>
    <row r="17">
      <c r="A17" t="inlineStr">
        <is>
          <t>Fruit-dryer farmer discount CAD m</t>
        </is>
      </c>
      <c r="B17" s="24">
        <f>'Editable Inputs'!$B$29*'Editable Inputs'!$B$30*(B2/'Editable Inputs'!$B$2)/1000000</f>
        <v/>
      </c>
      <c r="C17" s="24">
        <f>'Editable Inputs'!$B$29*'Editable Inputs'!$B$30*(C2/'Editable Inputs'!$B$2)/1000000</f>
        <v/>
      </c>
      <c r="D17" t="inlineStr">
        <is>
          <t>Farmer discount, not total producer revenue.</t>
        </is>
      </c>
    </row>
    <row r="18">
      <c r="A18" t="inlineStr">
        <is>
          <t>Household-electricity benefits CAD m</t>
        </is>
      </c>
      <c r="B18" s="24">
        <f>0</f>
        <v/>
      </c>
      <c r="C18" s="24">
        <f>0</f>
        <v/>
      </c>
      <c r="D18" t="inlineStr">
        <is>
          <t>Always ZERO: no free domestic electricity.</t>
        </is>
      </c>
    </row>
    <row r="19">
      <c r="A19" t="inlineStr">
        <is>
          <t>TOTAL market-equivalent annual value CAD m</t>
        </is>
      </c>
      <c r="B19" s="24">
        <f>SUM(B9,B11,B13:B18)</f>
        <v/>
      </c>
      <c r="C19" s="24">
        <f>SUM(C9,C11,C13:C18)</f>
        <v/>
      </c>
      <c r="D19" t="inlineStr">
        <is>
          <t>Sum annualised EV value, charging, food, and parity.</t>
        </is>
      </c>
    </row>
    <row r="20">
      <c r="A20" t="inlineStr">
        <is>
          <t>TOTAL illustrative annual financing CAD m</t>
        </is>
      </c>
      <c r="B20" s="24">
        <f>SUM(B10,B12,B13*'Editable Inputs'!$B$24,B14*'Editable Inputs'!$B$24,B15:B17)</f>
        <v/>
      </c>
      <c r="C20" s="24">
        <f>SUM(C10,C12,C13*'Editable Inputs'!$B$24,C14*'Editable Inputs'!$B$24,C15:C17)</f>
        <v/>
      </c>
      <c r="D20" t="inlineStr">
        <is>
          <t>Includes financed EV capital and programme cost of services.</t>
        </is>
      </c>
    </row>
    <row r="21">
      <c r="A21" t="inlineStr">
        <is>
          <t>Difference to CAD 4.6B aspirational target CAD m</t>
        </is>
      </c>
      <c r="B21" s="24">
        <f>MAX(0,'Editable Inputs'!$B$31/1000000-B19)</f>
        <v/>
      </c>
      <c r="C21" s="24">
        <f>MAX(0,'Editable Inputs'!$B$31/1000000-C19)</f>
        <v/>
      </c>
      <c r="D21" t="inlineStr">
        <is>
          <t>Not backed by audited free cash flow.</t>
        </is>
      </c>
    </row>
    <row r="22">
      <c r="A22" t="inlineStr">
        <is>
          <t>Equivalent annual market value per resident CAD</t>
        </is>
      </c>
      <c r="B22" s="24">
        <f>B19*1000000/B2</f>
        <v/>
      </c>
      <c r="C22" s="24">
        <f>C19*1000000/C2</f>
        <v/>
      </c>
      <c r="D22" t="inlineStr">
        <is>
          <t>Only a scenario value, not household cash.</t>
        </is>
      </c>
    </row>
    <row r="23">
      <c r="A23" t="inlineStr">
        <is>
          <t>Additional electricity to data centres (TWh/year)</t>
        </is>
      </c>
      <c r="B23" s="24">
        <f>B6/1000</f>
        <v/>
      </c>
      <c r="C23" s="24">
        <f>C6/1000</f>
        <v/>
      </c>
      <c r="D23" t="inlineStr">
        <is>
          <t>E-mobility additional to data-centre and food electricity.</t>
        </is>
      </c>
    </row>
    <row r="24">
      <c r="A24" t="inlineStr">
        <is>
          <t>Important: fossil parity is not free fuel</t>
        </is>
      </c>
      <c r="B24" s="24">
        <f>0</f>
        <v/>
      </c>
      <c r="C24" s="24">
        <f>0</f>
        <v/>
      </c>
      <c r="D24" t="inlineStr">
        <is>
          <t>Price parity means zero premium over fossil benchmark, not zero price.</t>
        </is>
      </c>
    </row>
    <row r="25">
      <c r="A25" s="4" t="inlineStr">
        <is>
          <t>Fresh produce entitlement kg per resident-year</t>
        </is>
      </c>
      <c r="B25" s="25">
        <f>'Editable Inputs'!$B$19</f>
        <v/>
      </c>
      <c r="C25" s="25">
        <f>'Editable Inputs'!$B$19</f>
        <v/>
      </c>
      <c r="D25" s="4" t="inlineStr">
        <is>
          <t>Entitlement set by proponent, not household purchase.</t>
        </is>
      </c>
    </row>
    <row r="26">
      <c r="A26" s="4" t="inlineStr">
        <is>
          <t>Seafood entitlement kg per resident-year</t>
        </is>
      </c>
      <c r="B26" s="25">
        <f>'Editable Inputs'!$B$22</f>
        <v/>
      </c>
      <c r="C26" s="25">
        <f>'Editable Inputs'!$B$22</f>
        <v/>
      </c>
      <c r="D26" s="4" t="inlineStr">
        <is>
          <t>Entitlement set by proponent, not household purchase.</t>
        </is>
      </c>
    </row>
    <row r="27">
      <c r="A27" t="inlineStr">
        <is>
          <t>Fresh produce to residents t/year</t>
        </is>
      </c>
      <c r="B27" s="24">
        <f>B2*B25/1000</f>
        <v/>
      </c>
      <c r="C27" s="24">
        <f>C2*C25/1000</f>
        <v/>
      </c>
      <c r="D27" t="inlineStr">
        <is>
          <t>Population times 146 kg, no separate 50% crop-allocation input.</t>
        </is>
      </c>
    </row>
    <row r="28">
      <c r="A28" t="inlineStr">
        <is>
          <t>Seafood to residents t/year</t>
        </is>
      </c>
      <c r="B28" s="24">
        <f>B2*B26/1000</f>
        <v/>
      </c>
      <c r="C28" s="24">
        <f>C2*C26/1000</f>
        <v/>
      </c>
      <c r="D28" t="inlineStr">
        <is>
          <t>Population times 46 kg, no separate 10% harvest input.</t>
        </is>
      </c>
    </row>
    <row r="29">
      <c r="A29" s="6" t="inlineStr">
        <is>
          <t>Combined fresh-food entitlement t/year</t>
        </is>
      </c>
      <c r="B29" s="26">
        <f>SUM(B27:B28)</f>
        <v/>
      </c>
      <c r="C29" s="26">
        <f>SUM(C27:C28)</f>
        <v/>
      </c>
      <c r="D29" s="6" t="inlineStr">
        <is>
          <t>No double counting; fresh produce and seafood are separate.</t>
        </is>
      </c>
    </row>
    <row r="30">
      <c r="A30" t="inlineStr">
        <is>
          <t>Share of modeled greenhouse harvest allocated</t>
        </is>
      </c>
      <c r="B30" s="27">
        <f>B27/'Editable Inputs'!$B$18</f>
        <v/>
      </c>
      <c r="C30" s="27">
        <f>C27/'Editable Inputs'!$B$18</f>
        <v/>
      </c>
      <c r="D30" t="inlineStr">
        <is>
          <t>Relative to illustrative 250,000 t/year harvest.</t>
        </is>
      </c>
    </row>
    <row r="31">
      <c r="A31" t="inlineStr">
        <is>
          <t>Share of modeled aquaculture harvest allocated</t>
        </is>
      </c>
      <c r="B31" s="27">
        <f>B28/'Editable Inputs'!$B$21</f>
        <v/>
      </c>
      <c r="C31" s="27">
        <f>C28/'Editable Inputs'!$B$21</f>
        <v/>
      </c>
      <c r="D31" t="inlineStr">
        <is>
          <t>Relative to illustrative 120,000 t/year aquaculture.</t>
        </is>
      </c>
    </row>
    <row r="32">
      <c r="A32" t="inlineStr">
        <is>
          <t>Greenhouse produce remaining t/year</t>
        </is>
      </c>
      <c r="B32" s="24">
        <f>'Editable Inputs'!$B$18*'Editable Inputs'!$B$36-B27</f>
        <v/>
      </c>
      <c r="C32" s="24">
        <f>'Editable Inputs'!$B$18*'Editable Inputs'!$B$36-C27</f>
        <v/>
      </c>
      <c r="D32" t="inlineStr">
        <is>
          <t>Surplus after illustrative marketable-grade pack-out.</t>
        </is>
      </c>
    </row>
    <row r="33">
      <c r="A33" t="inlineStr">
        <is>
          <t>Aquaculture remaining t/year</t>
        </is>
      </c>
      <c r="B33" s="24">
        <f>'Editable Inputs'!$B$21*'Editable Inputs'!$B$37-B28</f>
        <v/>
      </c>
      <c r="C33" s="24">
        <f>'Editable Inputs'!$B$21*'Editable Inputs'!$B$37-C28</f>
        <v/>
      </c>
      <c r="D33" t="inlineStr">
        <is>
          <t>Surplus after assumed whole-animal to market-product yield.</t>
        </is>
      </c>
    </row>
    <row r="34">
      <c r="A34" s="6" t="inlineStr">
        <is>
          <t>Food beneficiary market value CAD m</t>
        </is>
      </c>
      <c r="B34" s="26">
        <f>B13+B14</f>
        <v/>
      </c>
      <c r="C34" s="26">
        <f>C13+C14</f>
        <v/>
      </c>
      <c r="D34" s="6" t="inlineStr">
        <is>
          <t>Check = sum of food rows in main benefit schedule.</t>
        </is>
      </c>
    </row>
    <row r="35">
      <c r="A35" s="6" t="inlineStr">
        <is>
          <t>Food fulfilment funding cost CAD m</t>
        </is>
      </c>
      <c r="B35" s="26">
        <f>B34*'Editable Inputs'!$B$24</f>
        <v/>
      </c>
      <c r="C35" s="26">
        <f>C34*'Editable Inputs'!$B$24</f>
        <v/>
      </c>
      <c r="D35" s="6" t="inlineStr">
        <is>
          <t>Conditional procurement/distribution funding at modeled cost factor.</t>
        </is>
      </c>
    </row>
    <row r="36">
      <c r="A36" t="inlineStr">
        <is>
          <t>Share of marketable greenhouse food allocation</t>
        </is>
      </c>
      <c r="B36" s="27">
        <f>B27/('Editable Inputs'!$B$18*'Editable Inputs'!$B$36)</f>
        <v/>
      </c>
      <c r="C36" s="27">
        <f>C27/('Editable Inputs'!$B$18*'Editable Inputs'!$B$36)</f>
        <v/>
      </c>
      <c r="D36" t="inlineStr">
        <is>
          <t>Share of marketable (not gross harvest) fresh produce.</t>
        </is>
      </c>
    </row>
    <row r="37">
      <c r="A37" t="inlineStr">
        <is>
          <t>Share of marketable seafood allocation</t>
        </is>
      </c>
      <c r="B37" s="27">
        <f>B28/('Editable Inputs'!$B$21*'Editable Inputs'!$B$37)</f>
        <v/>
      </c>
      <c r="C37" s="27">
        <f>C28/('Editable Inputs'!$B$21*'Editable Inputs'!$B$37)</f>
        <v/>
      </c>
      <c r="D37" t="inlineStr">
        <is>
          <t>Share of marketable (not liveweight) aquaculture output.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9" t="inlineStr">
        <is>
          <t>IT Utilisation</t>
        </is>
      </c>
      <c r="B1" s="9" t="inlineStr">
        <is>
          <t>PUE</t>
        </is>
      </c>
      <c r="C1" s="9" t="inlineStr">
        <is>
          <t>Facility TWh/year</t>
        </is>
      </c>
      <c r="D1" s="9" t="inlineStr">
        <is>
          <t>Captured heat TWh/year</t>
        </is>
      </c>
      <c r="E1" s="9" t="inlineStr">
        <is>
          <t>Potential end-use TWh/year</t>
        </is>
      </c>
      <c r="F1" s="9" t="inlineStr">
        <is>
          <t>Scope 2 Mt/y @50 kg/MWh</t>
        </is>
      </c>
    </row>
    <row r="2">
      <c r="A2" t="n">
        <v>0.65</v>
      </c>
      <c r="B2" t="n">
        <v>1.1</v>
      </c>
      <c r="C2" s="24">
        <f>'Editable Inputs'!$B$32*A2*B2*8760/1000000</f>
        <v/>
      </c>
      <c r="D2" s="24">
        <f>'Editable Inputs'!$B$32*A2*'Editable Inputs'!$B$33*8760/1000000</f>
        <v/>
      </c>
      <c r="E2" s="24">
        <f>D2*'Editable Inputs'!$B$34</f>
        <v/>
      </c>
      <c r="F2" s="24">
        <f>C2*'Editable Inputs'!$B$35/1000</f>
        <v/>
      </c>
    </row>
    <row r="3">
      <c r="A3" t="n">
        <v>0.65</v>
      </c>
      <c r="B3" t="n">
        <v>1.15</v>
      </c>
      <c r="C3" s="24">
        <f>'Editable Inputs'!$B$32*A3*B3*8760/1000000</f>
        <v/>
      </c>
      <c r="D3" s="24">
        <f>'Editable Inputs'!$B$32*A3*'Editable Inputs'!$B$33*8760/1000000</f>
        <v/>
      </c>
      <c r="E3" s="24">
        <f>D3*'Editable Inputs'!$B$34</f>
        <v/>
      </c>
      <c r="F3" s="24">
        <f>C3*'Editable Inputs'!$B$35/1000</f>
        <v/>
      </c>
    </row>
    <row r="4">
      <c r="A4" t="n">
        <v>0.65</v>
      </c>
      <c r="B4" t="n">
        <v>1.3</v>
      </c>
      <c r="C4" s="24">
        <f>'Editable Inputs'!$B$32*A4*B4*8760/1000000</f>
        <v/>
      </c>
      <c r="D4" s="24">
        <f>'Editable Inputs'!$B$32*A4*'Editable Inputs'!$B$33*8760/1000000</f>
        <v/>
      </c>
      <c r="E4" s="24">
        <f>D4*'Editable Inputs'!$B$34</f>
        <v/>
      </c>
      <c r="F4" s="24">
        <f>C4*'Editable Inputs'!$B$35/1000</f>
        <v/>
      </c>
    </row>
    <row r="5">
      <c r="A5" t="n">
        <v>0.75</v>
      </c>
      <c r="B5" t="n">
        <v>1.1</v>
      </c>
      <c r="C5" s="24">
        <f>'Editable Inputs'!$B$32*A5*B5*8760/1000000</f>
        <v/>
      </c>
      <c r="D5" s="24">
        <f>'Editable Inputs'!$B$32*A5*'Editable Inputs'!$B$33*8760/1000000</f>
        <v/>
      </c>
      <c r="E5" s="24">
        <f>D5*'Editable Inputs'!$B$34</f>
        <v/>
      </c>
      <c r="F5" s="24">
        <f>C5*'Editable Inputs'!$B$35/1000</f>
        <v/>
      </c>
    </row>
    <row r="6">
      <c r="A6" t="n">
        <v>0.75</v>
      </c>
      <c r="B6" t="n">
        <v>1.15</v>
      </c>
      <c r="C6" s="24">
        <f>'Editable Inputs'!$B$32*A6*B6*8760/1000000</f>
        <v/>
      </c>
      <c r="D6" s="24">
        <f>'Editable Inputs'!$B$32*A6*'Editable Inputs'!$B$33*8760/1000000</f>
        <v/>
      </c>
      <c r="E6" s="24">
        <f>D6*'Editable Inputs'!$B$34</f>
        <v/>
      </c>
      <c r="F6" s="24">
        <f>C6*'Editable Inputs'!$B$35/1000</f>
        <v/>
      </c>
    </row>
    <row r="7">
      <c r="A7" t="n">
        <v>0.75</v>
      </c>
      <c r="B7" t="n">
        <v>1.3</v>
      </c>
      <c r="C7" s="24">
        <f>'Editable Inputs'!$B$32*A7*B7*8760/1000000</f>
        <v/>
      </c>
      <c r="D7" s="24">
        <f>'Editable Inputs'!$B$32*A7*'Editable Inputs'!$B$33*8760/1000000</f>
        <v/>
      </c>
      <c r="E7" s="24">
        <f>D7*'Editable Inputs'!$B$34</f>
        <v/>
      </c>
      <c r="F7" s="24">
        <f>C7*'Editable Inputs'!$B$35/1000</f>
        <v/>
      </c>
    </row>
    <row r="8">
      <c r="A8" t="n">
        <v>0.9</v>
      </c>
      <c r="B8" t="n">
        <v>1.1</v>
      </c>
      <c r="C8" s="24">
        <f>'Editable Inputs'!$B$32*A8*B8*8760/1000000</f>
        <v/>
      </c>
      <c r="D8" s="24">
        <f>'Editable Inputs'!$B$32*A8*'Editable Inputs'!$B$33*8760/1000000</f>
        <v/>
      </c>
      <c r="E8" s="24">
        <f>D8*'Editable Inputs'!$B$34</f>
        <v/>
      </c>
      <c r="F8" s="24">
        <f>C8*'Editable Inputs'!$B$35/1000</f>
        <v/>
      </c>
    </row>
    <row r="9">
      <c r="A9" t="n">
        <v>0.9</v>
      </c>
      <c r="B9" t="n">
        <v>1.15</v>
      </c>
      <c r="C9" s="24">
        <f>'Editable Inputs'!$B$32*A9*B9*8760/1000000</f>
        <v/>
      </c>
      <c r="D9" s="24">
        <f>'Editable Inputs'!$B$32*A9*'Editable Inputs'!$B$33*8760/1000000</f>
        <v/>
      </c>
      <c r="E9" s="24">
        <f>D9*'Editable Inputs'!$B$34</f>
        <v/>
      </c>
      <c r="F9" s="24">
        <f>C9*'Editable Inputs'!$B$35/1000</f>
        <v/>
      </c>
    </row>
    <row r="10">
      <c r="A10" t="n">
        <v>0.9</v>
      </c>
      <c r="B10" t="n">
        <v>1.3</v>
      </c>
      <c r="C10" s="24">
        <f>'Editable Inputs'!$B$32*A10*B10*8760/1000000</f>
        <v/>
      </c>
      <c r="D10" s="24">
        <f>'Editable Inputs'!$B$32*A10*'Editable Inputs'!$B$33*8760/1000000</f>
        <v/>
      </c>
      <c r="E10" s="24">
        <f>D10*'Editable Inputs'!$B$34</f>
        <v/>
      </c>
      <c r="F10" s="24">
        <f>C10*'Editable Inputs'!$B$35/1000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  <col width="25" customWidth="1" min="4" max="4"/>
  </cols>
  <sheetData>
    <row r="1" ht="26" customHeight="1">
      <c r="A1" s="9" t="inlineStr">
        <is>
          <t>FOOD ENTITLEMENTS</t>
        </is>
      </c>
      <c r="B1" s="9" t="inlineStr">
        <is>
          <t>PER RESIDENT/YEAR</t>
        </is>
      </c>
      <c r="C1" s="9" t="inlineStr">
        <is>
          <t>PHASE 1</t>
        </is>
      </c>
      <c r="D1" s="9" t="inlineStr">
        <is>
          <t>FULL PHASE 2</t>
        </is>
      </c>
    </row>
    <row r="2">
      <c r="A2" t="inlineStr">
        <is>
          <t>Residents</t>
        </is>
      </c>
      <c r="C2" s="12">
        <f>'Two-phase Benefits'!B2</f>
        <v/>
      </c>
      <c r="D2" s="12">
        <f>'Two-phase Benefits'!C2</f>
        <v/>
      </c>
    </row>
    <row r="3">
      <c r="A3" t="inlineStr">
        <is>
          <t>Fresh produce kg</t>
        </is>
      </c>
      <c r="B3">
        <f>'Editable Inputs'!$B$19</f>
        <v/>
      </c>
      <c r="C3" s="12">
        <f>'Two-phase Benefits'!B25</f>
        <v/>
      </c>
      <c r="D3" s="12">
        <f>'Two-phase Benefits'!C25</f>
        <v/>
      </c>
    </row>
    <row r="4">
      <c r="A4" t="inlineStr">
        <is>
          <t>Seafood kg</t>
        </is>
      </c>
      <c r="B4">
        <f>'Editable Inputs'!$B$22</f>
        <v/>
      </c>
      <c r="C4" s="12">
        <f>'Two-phase Benefits'!B26</f>
        <v/>
      </c>
      <c r="D4" s="12">
        <f>'Two-phase Benefits'!C26</f>
        <v/>
      </c>
    </row>
    <row r="5">
      <c r="A5" t="inlineStr">
        <is>
          <t>Fresh produce allocated tonnes/year</t>
        </is>
      </c>
      <c r="C5" s="12">
        <f>'Two-phase Benefits'!B27</f>
        <v/>
      </c>
      <c r="D5" s="12">
        <f>'Two-phase Benefits'!C27</f>
        <v/>
      </c>
    </row>
    <row r="6">
      <c r="A6" t="inlineStr">
        <is>
          <t>Seafood allocated tonnes/year</t>
        </is>
      </c>
      <c r="C6" s="12">
        <f>'Two-phase Benefits'!B28</f>
        <v/>
      </c>
      <c r="D6" s="12">
        <f>'Two-phase Benefits'!C28</f>
        <v/>
      </c>
    </row>
    <row r="7">
      <c r="A7" s="6" t="inlineStr">
        <is>
          <t>Combined tonnes/year</t>
        </is>
      </c>
      <c r="B7" s="6" t="n"/>
      <c r="C7" s="13">
        <f>'Two-phase Benefits'!B29</f>
        <v/>
      </c>
      <c r="D7" s="13">
        <f>'Two-phase Benefits'!C29</f>
        <v/>
      </c>
    </row>
    <row r="8">
      <c r="A8" t="inlineStr">
        <is>
          <t>Produce programme market value CAD m</t>
        </is>
      </c>
      <c r="C8" s="12">
        <f>'Two-phase Benefits'!B13</f>
        <v/>
      </c>
      <c r="D8" s="12">
        <f>'Two-phase Benefits'!C13</f>
        <v/>
      </c>
    </row>
    <row r="9">
      <c r="A9" t="inlineStr">
        <is>
          <t>Seafood market value CAD m</t>
        </is>
      </c>
      <c r="C9" s="12">
        <f>'Two-phase Benefits'!B14</f>
        <v/>
      </c>
      <c r="D9" s="12">
        <f>'Two-phase Benefits'!C14</f>
        <v/>
      </c>
    </row>
    <row r="10">
      <c r="A10" t="inlineStr">
        <is>
          <t>Produce share of proposed harvest</t>
        </is>
      </c>
      <c r="C10" s="28">
        <f>'Two-phase Benefits'!B30</f>
        <v/>
      </c>
      <c r="D10" s="28">
        <f>'Two-phase Benefits'!C30</f>
        <v/>
      </c>
    </row>
    <row r="11">
      <c r="A11" t="inlineStr">
        <is>
          <t>Seafood share of proposed harvest</t>
        </is>
      </c>
      <c r="C11" s="28">
        <f>'Two-phase Benefits'!B31</f>
        <v/>
      </c>
      <c r="D11" s="28">
        <f>'Two-phase Benefits'!C31</f>
        <v/>
      </c>
    </row>
    <row r="12">
      <c r="A12" s="6" t="inlineStr">
        <is>
          <t>Total benefit value CAD m</t>
        </is>
      </c>
      <c r="B12" s="6" t="n"/>
      <c r="C12" s="13">
        <f>'Two-phase Benefits'!B19</f>
        <v/>
      </c>
      <c r="D12" s="13">
        <f>'Two-phase Benefits'!C19</f>
        <v/>
      </c>
    </row>
    <row r="13">
      <c r="A13" t="inlineStr">
        <is>
          <t>Produce share of marketable output</t>
        </is>
      </c>
      <c r="C13" s="28">
        <f>'Two-phase Benefits'!B36</f>
        <v/>
      </c>
      <c r="D13" s="28">
        <f>'Two-phase Benefits'!C36</f>
        <v/>
      </c>
    </row>
    <row r="14">
      <c r="A14" t="inlineStr">
        <is>
          <t>Seafood share of marketable output</t>
        </is>
      </c>
      <c r="C14" s="28">
        <f>'Two-phase Benefits'!B37</f>
        <v/>
      </c>
      <c r="D14" s="28">
        <f>'Two-phase Benefits'!C37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1" customWidth="1" min="1" max="1"/>
    <col width="100" customWidth="1" min="2" max="2"/>
  </cols>
  <sheetData>
    <row r="1" ht="28" customHeight="1">
      <c r="A1" s="9" t="inlineStr">
        <is>
          <t>SOURCE / LIMITATION</t>
        </is>
      </c>
      <c r="B1" s="9" t="inlineStr">
        <is>
          <t>SUMMARY</t>
        </is>
      </c>
      <c r="C1" s="9" t="n"/>
      <c r="D1" s="9" t="n"/>
    </row>
    <row r="2">
      <c r="A2" t="inlineStr">
        <is>
          <t>Statistics Canada B.C. 2021 Census</t>
        </is>
      </c>
      <c r="B2" t="inlineStr">
        <is>
          <t>2.4 persons/household; source is provincial proxy, not 17-site census.</t>
        </is>
      </c>
    </row>
    <row r="3">
      <c r="A3" t="inlineStr">
        <is>
          <t>BC Hydro public EV charging rates Apr 2026</t>
        </is>
      </c>
      <c r="B3" t="inlineStr">
        <is>
          <t>L2 CAD 0.3083/kWh; fast CAD 0.3969/kWh before tax.</t>
        </is>
      </c>
    </row>
    <row r="4">
      <c r="A4" t="inlineStr">
        <is>
          <t>Natural Resources Canada renewable hydrocarbon diesel</t>
        </is>
      </c>
      <c r="B4" t="inlineStr">
        <is>
          <t>Premium over petroleum varies with costs and fossil fuel prices.</t>
        </is>
      </c>
    </row>
    <row r="5">
      <c r="A5" t="inlineStr">
        <is>
          <t>Digital Gardens 17-node published design</t>
        </is>
      </c>
      <c r="B5" t="inlineStr">
        <is>
          <t>3,624.51 MW IT; 787,934 covered residents supplied by author.</t>
        </is>
      </c>
    </row>
    <row r="6">
      <c r="A6" t="inlineStr">
        <is>
          <t>Vehicle benefits assumption</t>
        </is>
      </c>
      <c r="B6" t="inlineStr">
        <is>
          <t>Provision of a vehicle is an optional policy design input, not a confirmed offer.</t>
        </is>
      </c>
    </row>
    <row r="7">
      <c r="A7" t="inlineStr">
        <is>
          <t>No free home electricity</t>
        </is>
      </c>
      <c r="B7" t="inlineStr">
        <is>
          <t>Explicit ZERO benefit to domestic electric meters; only free EV charging.</t>
        </is>
      </c>
    </row>
    <row r="8">
      <c r="A8" t="inlineStr">
        <is>
          <t>Finance caveat</t>
        </is>
      </c>
      <c r="B8" t="inlineStr">
        <is>
          <t>Value to beneficiaries, actual funding, and cash flow must be audited separately.</t>
        </is>
      </c>
    </row>
    <row r="9">
      <c r="A9" t="inlineStr">
        <is>
          <t>BC Ministry of Agriculture 2021 census profiles</t>
        </is>
      </c>
      <c r="B9" t="inlineStr">
        <is>
          <t>https://www2.gov.bc.ca/gov/content/industry/agriculture-seafood/statistics/census-of-agriculture</t>
        </is>
      </c>
    </row>
    <row r="10">
      <c r="A10" t="inlineStr">
        <is>
          <t>Forage machinery reference</t>
        </is>
      </c>
      <c r="B10" t="inlineStr">
        <is>
          <t>https://doi.org/10.1007/s11367-023-02199-1</t>
        </is>
      </c>
    </row>
    <row r="11">
      <c r="A11" t="inlineStr">
        <is>
          <t>ECCC diesel factor</t>
        </is>
      </c>
      <c r="B11" t="inlineStr">
        <is>
          <t>https://www.canada.ca/en/environment-climate-change/services/climate-change/pricing-pollution-how-it-will-work/output-based-pricing-system/federal-greenhouse-gas-offset-system/emission-factors-reference-values.html</t>
        </is>
      </c>
    </row>
    <row r="12">
      <c r="A12" t="inlineStr">
        <is>
          <t>Farm fuel tax eligibility</t>
        </is>
      </c>
      <c r="B12" t="inlineStr">
        <is>
          <t>https://www2.gov.bc.ca/gov/content/taxes/sales-taxes/motor-fuel-carbon-tax/business/exemptions</t>
        </is>
      </c>
    </row>
    <row r="13">
      <c r="A13" t="inlineStr">
        <is>
          <t>Key boundary</t>
        </is>
      </c>
      <c r="B13" t="inlineStr">
        <is>
          <t>Eight complete RDs are counted, allocated to 17 nodes without duplication; NOT complete municipal farm inventory.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75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38" customHeight="1">
      <c r="A1" s="29" t="inlineStr">
        <is>
          <t>SCENARIO INPUT / COMPONENT</t>
        </is>
      </c>
      <c r="B1" s="29" t="inlineStr">
        <is>
          <t>INPUT</t>
        </is>
      </c>
      <c r="C1" s="29" t="inlineStr">
        <is>
          <t>UNIT</t>
        </is>
      </c>
      <c r="D1" s="29" t="inlineStr">
        <is>
          <t>EMPIRICAL BASIS / STATUS</t>
        </is>
      </c>
    </row>
    <row r="2">
      <c r="A2" s="30" t="inlineStr">
        <is>
          <t>Hay</t>
        </is>
      </c>
      <c r="B2" s="31" t="n">
        <v>30</v>
      </c>
      <c r="C2" s="30" t="inlineStr">
        <is>
          <t>L/ha/year</t>
        </is>
      </c>
      <c r="D2" s="30" t="inlineStr">
        <is>
          <t>Scenario 30; Canada forage literature 22–36 L/ha/y</t>
        </is>
      </c>
    </row>
    <row r="3">
      <c r="A3" s="32" t="inlineStr">
        <is>
          <t>Other cropped land</t>
        </is>
      </c>
      <c r="B3" s="33" t="n">
        <v>65</v>
      </c>
      <c r="C3" s="32" t="inlineStr">
        <is>
          <t>L/ha/year</t>
        </is>
      </c>
      <c r="D3" s="32" t="inlineStr">
        <is>
          <t>Scenario; multiple field operations; not field survey</t>
        </is>
      </c>
    </row>
    <row r="4">
      <c r="A4" s="30" t="inlineStr">
        <is>
          <t>Orchards, fruit, berries and nuts</t>
        </is>
      </c>
      <c r="B4" s="31" t="n">
        <v>130</v>
      </c>
      <c r="C4" s="30" t="inlineStr">
        <is>
          <t>L/ha/year</t>
        </is>
      </c>
      <c r="D4" s="30" t="inlineStr">
        <is>
          <t>Scenario; equipment, mowing, spraying, harvest</t>
        </is>
      </c>
    </row>
    <row r="5">
      <c r="A5" s="32" t="inlineStr">
        <is>
          <t>Vegetables</t>
        </is>
      </c>
      <c r="B5" s="33" t="n">
        <v>150</v>
      </c>
      <c r="C5" s="32" t="inlineStr">
        <is>
          <t>L/ha/year</t>
        </is>
      </c>
      <c r="D5" s="32" t="inlineStr">
        <is>
          <t>Scenario; multiple cultivation passes</t>
        </is>
      </c>
    </row>
    <row r="6">
      <c r="A6" s="30" t="inlineStr">
        <is>
          <t>Nursery, sod</t>
        </is>
      </c>
      <c r="B6" s="31" t="n">
        <v>100</v>
      </c>
      <c r="C6" s="30" t="inlineStr">
        <is>
          <t>L/ha/year</t>
        </is>
      </c>
      <c r="D6" s="30" t="inlineStr">
        <is>
          <t>Scenario, farm-specific variation</t>
        </is>
      </c>
    </row>
    <row r="7">
      <c r="A7" s="32" t="inlineStr">
        <is>
          <t>Seeded pasture</t>
        </is>
      </c>
      <c r="B7" s="33" t="n">
        <v>25</v>
      </c>
      <c r="C7" s="32" t="inlineStr">
        <is>
          <t>L/ha/year</t>
        </is>
      </c>
      <c r="D7" s="32" t="inlineStr">
        <is>
          <t>Scenario; cultivation and mowing</t>
        </is>
      </c>
    </row>
    <row r="8">
      <c r="A8" s="30" t="inlineStr">
        <is>
          <t>Natural pasture</t>
        </is>
      </c>
      <c r="B8" s="31" t="n">
        <v>1.5</v>
      </c>
      <c r="C8" s="30" t="inlineStr">
        <is>
          <t>L/ha/year</t>
        </is>
      </c>
      <c r="D8" s="30" t="inlineStr">
        <is>
          <t>Scenario; sparse visits on extensive grazing land</t>
        </is>
      </c>
    </row>
    <row r="9">
      <c r="A9" s="32" t="inlineStr">
        <is>
          <t>Other farmland</t>
        </is>
      </c>
      <c r="B9" s="33" t="n">
        <v>3</v>
      </c>
      <c r="C9" s="32" t="inlineStr">
        <is>
          <t>L/ha/year</t>
        </is>
      </c>
      <c r="D9" s="32" t="inlineStr">
        <is>
          <t>Scenario; service roads and machinery</t>
        </is>
      </c>
    </row>
    <row r="10">
      <c r="A10" s="30" t="inlineStr">
        <is>
          <t>Fixed per farm / livestock services</t>
        </is>
      </c>
      <c r="B10" s="31" t="n">
        <v>800</v>
      </c>
      <c r="C10" s="30" t="inlineStr">
        <is>
          <t>L/farm/year</t>
        </is>
      </c>
      <c r="D10" s="30" t="inlineStr">
        <is>
          <t>Scenario; supplementary service work; no measured sales</t>
        </is>
      </c>
    </row>
    <row r="11">
      <c r="A11" s="32" t="inlineStr">
        <is>
          <t>Renewable - fossil price difference</t>
        </is>
      </c>
      <c r="B11" s="33" t="n">
        <v>0.25</v>
      </c>
      <c r="C11" s="32" t="inlineStr">
        <is>
          <t>CAD/L</t>
        </is>
      </c>
      <c r="D11" s="32" t="inlineStr">
        <is>
          <t>Unverified market parity price gap; positive-only</t>
        </is>
      </c>
    </row>
    <row r="12">
      <c r="A12" s="30" t="inlineStr">
        <is>
          <t>Programme uptake</t>
        </is>
      </c>
      <c r="B12" s="31" t="n">
        <v>1</v>
      </c>
      <c r="C12" s="30" t="inlineStr">
        <is>
          <t>fraction</t>
        </is>
      </c>
      <c r="D12" s="30" t="inlineStr">
        <is>
          <t>Scenario: full replacement</t>
        </is>
      </c>
    </row>
    <row r="13">
      <c r="A13" s="32" t="inlineStr">
        <is>
          <t>Diesel direct CO2 baseline</t>
        </is>
      </c>
      <c r="B13" s="33" t="n">
        <v>2.681</v>
      </c>
      <c r="C13" s="32" t="inlineStr">
        <is>
          <t>kg/L</t>
        </is>
      </c>
      <c r="D13" s="32" t="inlineStr">
        <is>
          <t>ECCC 2026 combustion factor, not lifecycle savings</t>
        </is>
      </c>
    </row>
    <row r="14">
      <c r="A14" s="30" t="inlineStr">
        <is>
          <t>Diesel intensity sensitivity low</t>
        </is>
      </c>
      <c r="B14" s="31" t="n">
        <v>0.5</v>
      </c>
      <c r="C14" s="30" t="inlineStr">
        <is>
          <t>factor</t>
        </is>
      </c>
      <c r="D14" s="30" t="inlineStr">
        <is>
          <t>Scenario</t>
        </is>
      </c>
    </row>
    <row r="15">
      <c r="A15" s="32" t="inlineStr">
        <is>
          <t>Diesel intensity sensitivity high</t>
        </is>
      </c>
      <c r="B15" s="33" t="n">
        <v>1.6</v>
      </c>
      <c r="C15" s="32" t="inlineStr">
        <is>
          <t>factor</t>
        </is>
      </c>
      <c r="D15" s="32" t="inlineStr">
        <is>
          <t>Scenario</t>
        </is>
      </c>
    </row>
    <row r="16">
      <c r="A16" s="30" t="inlineStr">
        <is>
          <t>Former total fuel allocation</t>
        </is>
      </c>
      <c r="B16" s="31" t="n">
        <v>100000000</v>
      </c>
      <c r="C16" s="30" t="inlineStr">
        <is>
          <t>L/year</t>
        </is>
      </c>
      <c r="D16" s="30" t="inlineStr">
        <is>
          <t>Unverified prior assumption, NOT measured volume</t>
        </is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82" customWidth="1" min="15" max="15"/>
  </cols>
  <sheetData>
    <row r="1" ht="38" customHeight="1">
      <c r="A1" s="29" t="inlineStr">
        <is>
          <t>2021 census region</t>
        </is>
      </c>
      <c r="B1" s="29" t="inlineStr">
        <is>
          <t>Farms (#)</t>
        </is>
      </c>
      <c r="C1" s="29" t="inlineStr">
        <is>
          <t>Cropland ha</t>
        </is>
      </c>
      <c r="D1" s="29" t="inlineStr">
        <is>
          <t>Hay ha</t>
        </is>
      </c>
      <c r="E1" s="29" t="inlineStr">
        <is>
          <t>Fruit/berries ha</t>
        </is>
      </c>
      <c r="F1" s="29" t="inlineStr">
        <is>
          <t>Vegetables ha</t>
        </is>
      </c>
      <c r="G1" s="29" t="inlineStr">
        <is>
          <t>Nursery/sod ha</t>
        </is>
      </c>
      <c r="H1" s="29" t="inlineStr">
        <is>
          <t>Seeded pasture ha</t>
        </is>
      </c>
      <c r="I1" s="29" t="inlineStr">
        <is>
          <t>Natural pasture ha</t>
        </is>
      </c>
      <c r="J1" s="29" t="inlineStr">
        <is>
          <t>Other farmland ha</t>
        </is>
      </c>
      <c r="K1" s="29" t="inlineStr">
        <is>
          <t>Residual field ha</t>
        </is>
      </c>
      <c r="L1" s="29" t="inlineStr">
        <is>
          <t>Diesel estimated L/y</t>
        </is>
      </c>
      <c r="M1" s="29" t="inlineStr">
        <is>
          <t>Parity subsidy CAD/y</t>
        </is>
      </c>
      <c r="N1" s="29" t="inlineStr">
        <is>
          <t>Total farmland ha</t>
        </is>
      </c>
      <c r="O1" s="29" t="inlineStr">
        <is>
          <t>Source (official 2021 profile)</t>
        </is>
      </c>
    </row>
    <row r="2">
      <c r="A2" s="30" t="inlineStr">
        <is>
          <t>Squamish-Lillooet</t>
        </is>
      </c>
      <c r="B2" s="34" t="n">
        <v>117</v>
      </c>
      <c r="C2" s="34" t="n">
        <v>2120</v>
      </c>
      <c r="D2" s="34" t="n">
        <v>912</v>
      </c>
      <c r="E2" s="34" t="n">
        <v>30</v>
      </c>
      <c r="F2" s="34" t="n">
        <v>40</v>
      </c>
      <c r="G2" s="35" t="n">
        <v>19</v>
      </c>
      <c r="H2" s="35" t="n">
        <v>498</v>
      </c>
      <c r="I2" s="35" t="n">
        <v>3136</v>
      </c>
      <c r="J2" s="35" t="n">
        <v>578</v>
      </c>
      <c r="K2" s="35">
        <f>MAX(0,C2-D2-E2-F2-G2)</f>
        <v/>
      </c>
      <c r="L2" s="35">
        <f>D2*'Farm Coefficients'!$B$2+K2*'Farm Coefficients'!$B$3+E2*'Farm Coefficients'!$B$4+F2*'Farm Coefficients'!$B$5+G2*'Farm Coefficients'!$B$6+H2*'Farm Coefficients'!$B$7+I2*'Farm Coefficients'!$B$8+J2*'Farm Coefficients'!$B$9+B2*'Farm Coefficients'!$B$10</f>
        <v/>
      </c>
      <c r="M2" s="35">
        <f>L2*MAX(0,'Farm Coefficients'!$B$11)*'Farm Coefficients'!$B$12</f>
        <v/>
      </c>
      <c r="N2" s="35" t="n">
        <v>7526</v>
      </c>
      <c r="O2" s="36" t="inlineStr">
        <is>
          <t>https://www2.gov.bc.ca/assets/gov/farming-natural-resources-and-industry/agriculture-and-seafood/statistics/census/ag-in-brief/dec2024/cd/ag_in_brief_2021_-_cd_squamish-lillooet_-_december_2024_correction.pdf</t>
        </is>
      </c>
    </row>
    <row r="3">
      <c r="A3" s="32" t="inlineStr">
        <is>
          <t>Thompson-Nicola</t>
        </is>
      </c>
      <c r="B3" s="37" t="n">
        <v>895</v>
      </c>
      <c r="C3" s="37" t="n">
        <v>28365</v>
      </c>
      <c r="D3" s="37" t="n">
        <v>7541</v>
      </c>
      <c r="E3" s="37" t="n">
        <v>51</v>
      </c>
      <c r="F3" s="37" t="n">
        <v>246</v>
      </c>
      <c r="G3" s="38" t="n">
        <v>5</v>
      </c>
      <c r="H3" s="38" t="n">
        <v>10427</v>
      </c>
      <c r="I3" s="38" t="n">
        <v>419904</v>
      </c>
      <c r="J3" s="38" t="n">
        <v>6103</v>
      </c>
      <c r="K3" s="38">
        <f>MAX(0,C3-D3-E3-F3-G3)</f>
        <v/>
      </c>
      <c r="L3" s="38">
        <f>D3*'Farm Coefficients'!$B$2+K3*'Farm Coefficients'!$B$3+E3*'Farm Coefficients'!$B$4+F3*'Farm Coefficients'!$B$5+G3*'Farm Coefficients'!$B$6+H3*'Farm Coefficients'!$B$7+I3*'Farm Coefficients'!$B$8+J3*'Farm Coefficients'!$B$9+B3*'Farm Coefficients'!$B$10</f>
        <v/>
      </c>
      <c r="M3" s="38">
        <f>L3*MAX(0,'Farm Coefficients'!$B$11)*'Farm Coefficients'!$B$12</f>
        <v/>
      </c>
      <c r="N3" s="38" t="n">
        <v>516079</v>
      </c>
      <c r="O3" s="39" t="inlineStr">
        <is>
          <t>https://www2.gov.bc.ca/assets/gov/farming-natural-resources-and-industry/agriculture-and-seafood/statistics/census/ag-in-brief/dec2024/cd/ag_in_brief_2021_-_cd_thompson-nicola_-_december_2024_correction.pdf</t>
        </is>
      </c>
    </row>
    <row r="4">
      <c r="A4" s="30" t="inlineStr">
        <is>
          <t>Columbia-Shuswap</t>
        </is>
      </c>
      <c r="B4" s="34" t="n">
        <v>510</v>
      </c>
      <c r="C4" s="34" t="n">
        <v>10170</v>
      </c>
      <c r="D4" s="34" t="n">
        <v>3265</v>
      </c>
      <c r="E4" s="34" t="n">
        <v>122</v>
      </c>
      <c r="F4" s="34" t="n">
        <v>57</v>
      </c>
      <c r="G4" s="35" t="n">
        <v>35</v>
      </c>
      <c r="H4" s="35" t="n">
        <v>1663</v>
      </c>
      <c r="I4" s="35" t="n">
        <v>8253</v>
      </c>
      <c r="J4" s="35" t="n">
        <v>1616</v>
      </c>
      <c r="K4" s="35">
        <f>MAX(0,C4-D4-E4-F4-G4)</f>
        <v/>
      </c>
      <c r="L4" s="35">
        <f>D4*'Farm Coefficients'!$B$2+K4*'Farm Coefficients'!$B$3+E4*'Farm Coefficients'!$B$4+F4*'Farm Coefficients'!$B$5+G4*'Farm Coefficients'!$B$6+H4*'Farm Coefficients'!$B$7+I4*'Farm Coefficients'!$B$8+J4*'Farm Coefficients'!$B$9+B4*'Farm Coefficients'!$B$10</f>
        <v/>
      </c>
      <c r="M4" s="35">
        <f>L4*MAX(0,'Farm Coefficients'!$B$11)*'Farm Coefficients'!$B$12</f>
        <v/>
      </c>
      <c r="N4" s="35" t="n">
        <v>27052</v>
      </c>
      <c r="O4" s="36" t="inlineStr">
        <is>
          <t>https://www2.gov.bc.ca/assets/gov/farming-natural-resources-and-industry/agriculture-and-seafood/statistics/census/ag-in-brief/dec2024/cd/ag_in_brief_2021_-_cd_columbia-shuswap_-_december_2024_correction.pdf</t>
        </is>
      </c>
    </row>
    <row r="5">
      <c r="A5" s="32" t="inlineStr">
        <is>
          <t>North Okanagan</t>
        </is>
      </c>
      <c r="B5" s="37" t="n">
        <v>972</v>
      </c>
      <c r="C5" s="37" t="n">
        <v>19666</v>
      </c>
      <c r="D5" s="37" t="n">
        <v>5411</v>
      </c>
      <c r="E5" s="37" t="n">
        <v>470</v>
      </c>
      <c r="F5" s="37" t="n">
        <v>133</v>
      </c>
      <c r="G5" s="38" t="n">
        <v>143</v>
      </c>
      <c r="H5" s="38" t="n">
        <v>2180</v>
      </c>
      <c r="I5" s="38" t="n">
        <v>32397</v>
      </c>
      <c r="J5" s="38" t="n">
        <v>2586</v>
      </c>
      <c r="K5" s="38">
        <f>MAX(0,C5-D5-E5-F5-G5)</f>
        <v/>
      </c>
      <c r="L5" s="38">
        <f>D5*'Farm Coefficients'!$B$2+K5*'Farm Coefficients'!$B$3+E5*'Farm Coefficients'!$B$4+F5*'Farm Coefficients'!$B$5+G5*'Farm Coefficients'!$B$6+H5*'Farm Coefficients'!$B$7+I5*'Farm Coefficients'!$B$8+J5*'Farm Coefficients'!$B$9+B5*'Farm Coefficients'!$B$10</f>
        <v/>
      </c>
      <c r="M5" s="38">
        <f>L5*MAX(0,'Farm Coefficients'!$B$11)*'Farm Coefficients'!$B$12</f>
        <v/>
      </c>
      <c r="N5" s="38" t="n">
        <v>62415</v>
      </c>
      <c r="O5" s="39" t="inlineStr">
        <is>
          <t>https://www2.gov.bc.ca/assets/gov/farming-natural-resources-and-industry/agriculture-and-seafood/statistics/census/ag-in-brief/dec2024/cd/ag_in_brief_2021_-_cd_north_okanagan_-_december_2024_correction.pdf</t>
        </is>
      </c>
    </row>
    <row r="6">
      <c r="A6" s="30" t="inlineStr">
        <is>
          <t>Central Okanagan</t>
        </is>
      </c>
      <c r="B6" s="34" t="n">
        <v>807</v>
      </c>
      <c r="C6" s="34" t="n">
        <v>6608</v>
      </c>
      <c r="D6" s="34" t="n">
        <v>705</v>
      </c>
      <c r="E6" s="34" t="n">
        <v>3879</v>
      </c>
      <c r="F6" s="34" t="n">
        <v>98</v>
      </c>
      <c r="G6" s="35" t="n">
        <v>377</v>
      </c>
      <c r="H6" s="35" t="n">
        <v>606</v>
      </c>
      <c r="I6" s="35" t="n">
        <v>11193</v>
      </c>
      <c r="J6" s="35" t="n">
        <v>1474</v>
      </c>
      <c r="K6" s="35">
        <f>MAX(0,C6-D6-E6-F6-G6)</f>
        <v/>
      </c>
      <c r="L6" s="35">
        <f>D6*'Farm Coefficients'!$B$2+K6*'Farm Coefficients'!$B$3+E6*'Farm Coefficients'!$B$4+F6*'Farm Coefficients'!$B$5+G6*'Farm Coefficients'!$B$6+H6*'Farm Coefficients'!$B$7+I6*'Farm Coefficients'!$B$8+J6*'Farm Coefficients'!$B$9+B6*'Farm Coefficients'!$B$10</f>
        <v/>
      </c>
      <c r="M6" s="35">
        <f>L6*MAX(0,'Farm Coefficients'!$B$11)*'Farm Coefficients'!$B$12</f>
        <v/>
      </c>
      <c r="N6" s="35" t="n">
        <v>20888</v>
      </c>
      <c r="O6" s="36" t="inlineStr">
        <is>
          <t>https://www2.gov.bc.ca/assets/gov/farming-natural-resources-and-industry/agriculture-and-seafood/statistics/census/ag-in-brief/dec2024/cd/ag_in_brief_2021_-_cd_central_okanagan_-_december_2024_correction.pdf</t>
        </is>
      </c>
    </row>
    <row r="7">
      <c r="A7" s="32" t="inlineStr">
        <is>
          <t>Okanagan-Similkameen</t>
        </is>
      </c>
      <c r="B7" s="37" t="n">
        <v>1231</v>
      </c>
      <c r="C7" s="37" t="n">
        <v>10558</v>
      </c>
      <c r="D7" s="37" t="n">
        <v>633</v>
      </c>
      <c r="E7" s="37" t="n">
        <v>7166</v>
      </c>
      <c r="F7" s="37" t="n">
        <v>282</v>
      </c>
      <c r="G7" s="38" t="n">
        <v>10</v>
      </c>
      <c r="H7" s="38" t="n">
        <v>1252</v>
      </c>
      <c r="I7" s="38" t="n">
        <v>48822</v>
      </c>
      <c r="J7" s="38" t="n">
        <v>2370</v>
      </c>
      <c r="K7" s="38">
        <f>MAX(0,C7-D7-E7-F7-G7)</f>
        <v/>
      </c>
      <c r="L7" s="38">
        <f>D7*'Farm Coefficients'!$B$2+K7*'Farm Coefficients'!$B$3+E7*'Farm Coefficients'!$B$4+F7*'Farm Coefficients'!$B$5+G7*'Farm Coefficients'!$B$6+H7*'Farm Coefficients'!$B$7+I7*'Farm Coefficients'!$B$8+J7*'Farm Coefficients'!$B$9+B7*'Farm Coefficients'!$B$10</f>
        <v/>
      </c>
      <c r="M7" s="38">
        <f>L7*MAX(0,'Farm Coefficients'!$B$11)*'Farm Coefficients'!$B$12</f>
        <v/>
      </c>
      <c r="N7" s="38" t="n">
        <v>65516</v>
      </c>
      <c r="O7" s="39" t="inlineStr">
        <is>
          <t>https://www2.gov.bc.ca/assets/gov/farming-natural-resources-and-industry/agriculture-and-seafood/statistics/census/ag-in-brief/dec2024/cd/ag_in_brief_2021_-_cd_okanagan-similkameen_-_december_2024_correction.pdf</t>
        </is>
      </c>
    </row>
    <row r="8">
      <c r="A8" s="30" t="inlineStr">
        <is>
          <t>Fraser Valley</t>
        </is>
      </c>
      <c r="B8" s="34" t="n">
        <v>2358</v>
      </c>
      <c r="C8" s="34" t="n">
        <v>36962</v>
      </c>
      <c r="D8" s="34" t="n">
        <v>10784</v>
      </c>
      <c r="E8" s="34" t="n">
        <v>6473</v>
      </c>
      <c r="F8" s="34" t="n">
        <v>1843</v>
      </c>
      <c r="G8" s="35" t="n">
        <v>1278</v>
      </c>
      <c r="H8" s="35" t="n">
        <v>2619</v>
      </c>
      <c r="I8" s="35" t="n">
        <v>14027</v>
      </c>
      <c r="J8" s="35" t="n">
        <v>4748</v>
      </c>
      <c r="K8" s="35">
        <f>MAX(0,C8-D8-E8-F8-G8)</f>
        <v/>
      </c>
      <c r="L8" s="35">
        <f>D8*'Farm Coefficients'!$B$2+K8*'Farm Coefficients'!$B$3+E8*'Farm Coefficients'!$B$4+F8*'Farm Coefficients'!$B$5+G8*'Farm Coefficients'!$B$6+H8*'Farm Coefficients'!$B$7+I8*'Farm Coefficients'!$B$8+J8*'Farm Coefficients'!$B$9+B8*'Farm Coefficients'!$B$10</f>
        <v/>
      </c>
      <c r="M8" s="35">
        <f>L8*MAX(0,'Farm Coefficients'!$B$11)*'Farm Coefficients'!$B$12</f>
        <v/>
      </c>
      <c r="N8" s="35" t="n">
        <v>60350</v>
      </c>
      <c r="O8" s="36" t="inlineStr">
        <is>
          <t>https://www2.gov.bc.ca/assets/gov/farming-natural-resources-and-industry/agriculture-and-seafood/statistics/census/ag-in-brief/dec2024/cd/ag_in_brief_2021_-_cd_fraser_valley_-_december_2024_correction.pdf</t>
        </is>
      </c>
    </row>
    <row r="9">
      <c r="A9" s="32" t="inlineStr">
        <is>
          <t>Greater Vancouver</t>
        </is>
      </c>
      <c r="B9" s="37" t="n">
        <v>2118</v>
      </c>
      <c r="C9" s="37" t="n">
        <v>24999</v>
      </c>
      <c r="D9" s="37" t="n">
        <v>5535</v>
      </c>
      <c r="E9" s="37" t="n">
        <v>8368</v>
      </c>
      <c r="F9" s="37" t="n">
        <v>2401</v>
      </c>
      <c r="G9" s="38" t="n">
        <v>677</v>
      </c>
      <c r="H9" s="38" t="n">
        <v>999</v>
      </c>
      <c r="I9" s="38" t="n">
        <v>2627</v>
      </c>
      <c r="J9" s="38" t="n">
        <v>4517</v>
      </c>
      <c r="K9" s="38">
        <f>MAX(0,C9-D9-E9-F9-G9)</f>
        <v/>
      </c>
      <c r="L9" s="38">
        <f>D9*'Farm Coefficients'!$B$2+K9*'Farm Coefficients'!$B$3+E9*'Farm Coefficients'!$B$4+F9*'Farm Coefficients'!$B$5+G9*'Farm Coefficients'!$B$6+H9*'Farm Coefficients'!$B$7+I9*'Farm Coefficients'!$B$8+J9*'Farm Coefficients'!$B$9+B9*'Farm Coefficients'!$B$10</f>
        <v/>
      </c>
      <c r="M9" s="38">
        <f>L9*MAX(0,'Farm Coefficients'!$B$11)*'Farm Coefficients'!$B$12</f>
        <v/>
      </c>
      <c r="N9" s="38" t="n">
        <v>34360</v>
      </c>
      <c r="O9" s="39" t="inlineStr">
        <is>
          <t>https://www2.gov.bc.ca/assets/gov/farming-natural-resources-and-industry/agriculture-and-seafood/statistics/census/ag-in-brief/ag_in_brief_2021_-_cd_greater_vancouver.pdf</t>
        </is>
      </c>
    </row>
    <row r="10">
      <c r="A10" s="40" t="inlineStr">
        <is>
          <t>TOTAL (all 8 regional districts)</t>
        </is>
      </c>
      <c r="B10" s="41">
        <f>SUM(B2:B9)</f>
        <v/>
      </c>
      <c r="C10" s="41">
        <f>SUM(C2:C9)</f>
        <v/>
      </c>
      <c r="D10" s="41">
        <f>SUM(D2:D9)</f>
        <v/>
      </c>
      <c r="E10" s="41">
        <f>SUM(E2:E9)</f>
        <v/>
      </c>
      <c r="F10" s="41">
        <f>SUM(F2:F9)</f>
        <v/>
      </c>
      <c r="G10" s="42">
        <f>SUM(G2:G9)</f>
        <v/>
      </c>
      <c r="H10" s="42">
        <f>SUM(H2:H9)</f>
        <v/>
      </c>
      <c r="I10" s="42">
        <f>SUM(I2:I9)</f>
        <v/>
      </c>
      <c r="J10" s="42">
        <f>SUM(J2:J9)</f>
        <v/>
      </c>
      <c r="K10" s="42">
        <f>SUM(K2:K9)</f>
        <v/>
      </c>
      <c r="L10" s="42">
        <f>SUM(L2:L9)</f>
        <v/>
      </c>
      <c r="M10" s="42">
        <f>SUM(M2:M9)</f>
        <v/>
      </c>
      <c r="N10" s="42">
        <f>SUM(N2:N9)</f>
        <v/>
      </c>
      <c r="O10" s="43" t="inlineStr">
        <is>
          <t>Covers wider regions than only municipalities</t>
        </is>
      </c>
    </row>
  </sheetData>
  <autoFilter ref="A1:O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2" customWidth="1" min="2" max="2"/>
    <col width="17" customWidth="1" min="3" max="3"/>
    <col width="17" customWidth="1" min="4" max="4"/>
    <col width="17" customWidth="1" min="5" max="5"/>
    <col width="7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38" customHeight="1">
      <c r="A1" s="29" t="inlineStr">
        <is>
          <t>Community</t>
        </is>
      </c>
      <c r="B1" s="29" t="inlineStr">
        <is>
          <t>Regional district</t>
        </is>
      </c>
      <c r="C1" s="29" t="inlineStr">
        <is>
          <t>Attribution weight (assumed)</t>
        </is>
      </c>
      <c r="D1" s="29" t="inlineStr">
        <is>
          <t>Diesel L/year proxy</t>
        </is>
      </c>
      <c r="E1" s="29" t="inlineStr">
        <is>
          <t>Renewable-fuel parity CAD/year</t>
        </is>
      </c>
      <c r="F1" s="29" t="inlineStr">
        <is>
          <t>Evidence limitation</t>
        </is>
      </c>
    </row>
    <row r="2">
      <c r="A2" s="30" t="inlineStr">
        <is>
          <t>Lillooet</t>
        </is>
      </c>
      <c r="B2" s="30" t="inlineStr">
        <is>
          <t>Squamish-Lillooet</t>
        </is>
      </c>
      <c r="C2" s="44" t="n">
        <v>1</v>
      </c>
      <c r="D2" s="45">
        <f>INDEX('RD Agriculture'!$L$2:$L$9,MATCH(B2,'RD Agriculture'!$A$2:$A$9,0))*C2</f>
        <v/>
      </c>
      <c r="E2" s="46">
        <f>D2*MAX(0,'Farm Coefficients'!$B$11)*'Farm Coefficients'!$B$12</f>
        <v/>
      </c>
      <c r="F2" s="30" t="inlineStr">
        <is>
          <t>Service allocation proxy; NOT city-level measured farm diesel</t>
        </is>
      </c>
    </row>
    <row r="3">
      <c r="A3" s="32" t="inlineStr">
        <is>
          <t>Cache Creek</t>
        </is>
      </c>
      <c r="B3" s="32" t="inlineStr">
        <is>
          <t>Thompson-Nicola</t>
        </is>
      </c>
      <c r="C3" s="47" t="n">
        <v>0.15</v>
      </c>
      <c r="D3" s="48">
        <f>INDEX('RD Agriculture'!$L$2:$L$9,MATCH(B3,'RD Agriculture'!$A$2:$A$9,0))*C3</f>
        <v/>
      </c>
      <c r="E3" s="49">
        <f>D3*MAX(0,'Farm Coefficients'!$B$11)*'Farm Coefficients'!$B$12</f>
        <v/>
      </c>
      <c r="F3" s="32" t="inlineStr">
        <is>
          <t>Service allocation proxy; NOT city-level measured farm diesel</t>
        </is>
      </c>
    </row>
    <row r="4">
      <c r="A4" s="30" t="inlineStr">
        <is>
          <t>Kamloops</t>
        </is>
      </c>
      <c r="B4" s="30" t="inlineStr">
        <is>
          <t>Thompson-Nicola</t>
        </is>
      </c>
      <c r="C4" s="44" t="n">
        <v>0.55</v>
      </c>
      <c r="D4" s="45">
        <f>INDEX('RD Agriculture'!$L$2:$L$9,MATCH(B4,'RD Agriculture'!$A$2:$A$9,0))*C4</f>
        <v/>
      </c>
      <c r="E4" s="46">
        <f>D4*MAX(0,'Farm Coefficients'!$B$11)*'Farm Coefficients'!$B$12</f>
        <v/>
      </c>
      <c r="F4" s="30" t="inlineStr">
        <is>
          <t>Service allocation proxy; NOT city-level measured farm diesel</t>
        </is>
      </c>
    </row>
    <row r="5">
      <c r="A5" s="32" t="inlineStr">
        <is>
          <t>Chase</t>
        </is>
      </c>
      <c r="B5" s="32" t="inlineStr">
        <is>
          <t>Thompson-Nicola</t>
        </is>
      </c>
      <c r="C5" s="47" t="n">
        <v>0.3</v>
      </c>
      <c r="D5" s="48">
        <f>INDEX('RD Agriculture'!$L$2:$L$9,MATCH(B5,'RD Agriculture'!$A$2:$A$9,0))*C5</f>
        <v/>
      </c>
      <c r="E5" s="49">
        <f>D5*MAX(0,'Farm Coefficients'!$B$11)*'Farm Coefficients'!$B$12</f>
        <v/>
      </c>
      <c r="F5" s="32" t="inlineStr">
        <is>
          <t>Service allocation proxy; NOT city-level measured farm diesel</t>
        </is>
      </c>
    </row>
    <row r="6">
      <c r="A6" s="30" t="inlineStr">
        <is>
          <t>Salmon Arm</t>
        </is>
      </c>
      <c r="B6" s="30" t="inlineStr">
        <is>
          <t>Columbia-Shuswap</t>
        </is>
      </c>
      <c r="C6" s="44" t="n">
        <v>1</v>
      </c>
      <c r="D6" s="45">
        <f>INDEX('RD Agriculture'!$L$2:$L$9,MATCH(B6,'RD Agriculture'!$A$2:$A$9,0))*C6</f>
        <v/>
      </c>
      <c r="E6" s="46">
        <f>D6*MAX(0,'Farm Coefficients'!$B$11)*'Farm Coefficients'!$B$12</f>
        <v/>
      </c>
      <c r="F6" s="30" t="inlineStr">
        <is>
          <t>Service allocation proxy; NOT city-level measured farm diesel</t>
        </is>
      </c>
    </row>
    <row r="7">
      <c r="A7" s="32" t="inlineStr">
        <is>
          <t>Vernon</t>
        </is>
      </c>
      <c r="B7" s="32" t="inlineStr">
        <is>
          <t>North Okanagan</t>
        </is>
      </c>
      <c r="C7" s="47" t="n">
        <v>1</v>
      </c>
      <c r="D7" s="48">
        <f>INDEX('RD Agriculture'!$L$2:$L$9,MATCH(B7,'RD Agriculture'!$A$2:$A$9,0))*C7</f>
        <v/>
      </c>
      <c r="E7" s="49">
        <f>D7*MAX(0,'Farm Coefficients'!$B$11)*'Farm Coefficients'!$B$12</f>
        <v/>
      </c>
      <c r="F7" s="32" t="inlineStr">
        <is>
          <t>Service allocation proxy; NOT city-level measured farm diesel</t>
        </is>
      </c>
    </row>
    <row r="8">
      <c r="A8" s="30" t="inlineStr">
        <is>
          <t>Kelowna</t>
        </is>
      </c>
      <c r="B8" s="30" t="inlineStr">
        <is>
          <t>Central Okanagan</t>
        </is>
      </c>
      <c r="C8" s="44" t="n">
        <v>0.75</v>
      </c>
      <c r="D8" s="45">
        <f>INDEX('RD Agriculture'!$L$2:$L$9,MATCH(B8,'RD Agriculture'!$A$2:$A$9,0))*C8</f>
        <v/>
      </c>
      <c r="E8" s="46">
        <f>D8*MAX(0,'Farm Coefficients'!$B$11)*'Farm Coefficients'!$B$12</f>
        <v/>
      </c>
      <c r="F8" s="30" t="inlineStr">
        <is>
          <t>Service allocation proxy; NOT city-level measured farm diesel</t>
        </is>
      </c>
    </row>
    <row r="9">
      <c r="A9" s="32" t="inlineStr">
        <is>
          <t>West Kelowna</t>
        </is>
      </c>
      <c r="B9" s="32" t="inlineStr">
        <is>
          <t>Central Okanagan</t>
        </is>
      </c>
      <c r="C9" s="47" t="n">
        <v>0.25</v>
      </c>
      <c r="D9" s="48">
        <f>INDEX('RD Agriculture'!$L$2:$L$9,MATCH(B9,'RD Agriculture'!$A$2:$A$9,0))*C9</f>
        <v/>
      </c>
      <c r="E9" s="49">
        <f>D9*MAX(0,'Farm Coefficients'!$B$11)*'Farm Coefficients'!$B$12</f>
        <v/>
      </c>
      <c r="F9" s="32" t="inlineStr">
        <is>
          <t>Service allocation proxy; NOT city-level measured farm diesel</t>
        </is>
      </c>
    </row>
    <row r="10">
      <c r="A10" s="30" t="inlineStr">
        <is>
          <t>Penticton</t>
        </is>
      </c>
      <c r="B10" s="30" t="inlineStr">
        <is>
          <t>Okanagan-Similkameen</t>
        </is>
      </c>
      <c r="C10" s="44" t="n">
        <v>0.45</v>
      </c>
      <c r="D10" s="45">
        <f>INDEX('RD Agriculture'!$L$2:$L$9,MATCH(B10,'RD Agriculture'!$A$2:$A$9,0))*C10</f>
        <v/>
      </c>
      <c r="E10" s="46">
        <f>D10*MAX(0,'Farm Coefficients'!$B$11)*'Farm Coefficients'!$B$12</f>
        <v/>
      </c>
      <c r="F10" s="30" t="inlineStr">
        <is>
          <t>Service allocation proxy; NOT city-level measured farm diesel</t>
        </is>
      </c>
    </row>
    <row r="11">
      <c r="A11" s="32" t="inlineStr">
        <is>
          <t>Oliver</t>
        </is>
      </c>
      <c r="B11" s="32" t="inlineStr">
        <is>
          <t>Okanagan-Similkameen</t>
        </is>
      </c>
      <c r="C11" s="47" t="n">
        <v>0.3</v>
      </c>
      <c r="D11" s="48">
        <f>INDEX('RD Agriculture'!$L$2:$L$9,MATCH(B11,'RD Agriculture'!$A$2:$A$9,0))*C11</f>
        <v/>
      </c>
      <c r="E11" s="49">
        <f>D11*MAX(0,'Farm Coefficients'!$B$11)*'Farm Coefficients'!$B$12</f>
        <v/>
      </c>
      <c r="F11" s="32" t="inlineStr">
        <is>
          <t>Service allocation proxy; NOT city-level measured farm diesel</t>
        </is>
      </c>
    </row>
    <row r="12">
      <c r="A12" s="30" t="inlineStr">
        <is>
          <t>Osoyoos</t>
        </is>
      </c>
      <c r="B12" s="30" t="inlineStr">
        <is>
          <t>Okanagan-Similkameen</t>
        </is>
      </c>
      <c r="C12" s="44" t="n">
        <v>0.25</v>
      </c>
      <c r="D12" s="45">
        <f>INDEX('RD Agriculture'!$L$2:$L$9,MATCH(B12,'RD Agriculture'!$A$2:$A$9,0))*C12</f>
        <v/>
      </c>
      <c r="E12" s="46">
        <f>D12*MAX(0,'Farm Coefficients'!$B$11)*'Farm Coefficients'!$B$12</f>
        <v/>
      </c>
      <c r="F12" s="30" t="inlineStr">
        <is>
          <t>Service allocation proxy; NOT city-level measured farm diesel</t>
        </is>
      </c>
    </row>
    <row r="13">
      <c r="A13" s="32" t="inlineStr">
        <is>
          <t>Hope</t>
        </is>
      </c>
      <c r="B13" s="32" t="inlineStr">
        <is>
          <t>Fraser Valley</t>
        </is>
      </c>
      <c r="C13" s="47" t="n">
        <v>0.1</v>
      </c>
      <c r="D13" s="48">
        <f>INDEX('RD Agriculture'!$L$2:$L$9,MATCH(B13,'RD Agriculture'!$A$2:$A$9,0))*C13</f>
        <v/>
      </c>
      <c r="E13" s="49">
        <f>D13*MAX(0,'Farm Coefficients'!$B$11)*'Farm Coefficients'!$B$12</f>
        <v/>
      </c>
      <c r="F13" s="32" t="inlineStr">
        <is>
          <t>Service allocation proxy; NOT city-level measured farm diesel</t>
        </is>
      </c>
    </row>
    <row r="14">
      <c r="A14" s="30" t="inlineStr">
        <is>
          <t>Agassiz / Kent</t>
        </is>
      </c>
      <c r="B14" s="30" t="inlineStr">
        <is>
          <t>Fraser Valley</t>
        </is>
      </c>
      <c r="C14" s="44" t="n">
        <v>0.15</v>
      </c>
      <c r="D14" s="45">
        <f>INDEX('RD Agriculture'!$L$2:$L$9,MATCH(B14,'RD Agriculture'!$A$2:$A$9,0))*C14</f>
        <v/>
      </c>
      <c r="E14" s="46">
        <f>D14*MAX(0,'Farm Coefficients'!$B$11)*'Farm Coefficients'!$B$12</f>
        <v/>
      </c>
      <c r="F14" s="30" t="inlineStr">
        <is>
          <t>Service allocation proxy; NOT city-level measured farm diesel</t>
        </is>
      </c>
    </row>
    <row r="15">
      <c r="A15" s="32" t="inlineStr">
        <is>
          <t>Chilliwack</t>
        </is>
      </c>
      <c r="B15" s="32" t="inlineStr">
        <is>
          <t>Fraser Valley</t>
        </is>
      </c>
      <c r="C15" s="47" t="n">
        <v>0.25</v>
      </c>
      <c r="D15" s="48">
        <f>INDEX('RD Agriculture'!$L$2:$L$9,MATCH(B15,'RD Agriculture'!$A$2:$A$9,0))*C15</f>
        <v/>
      </c>
      <c r="E15" s="49">
        <f>D15*MAX(0,'Farm Coefficients'!$B$11)*'Farm Coefficients'!$B$12</f>
        <v/>
      </c>
      <c r="F15" s="32" t="inlineStr">
        <is>
          <t>Service allocation proxy; NOT city-level measured farm diesel</t>
        </is>
      </c>
    </row>
    <row r="16">
      <c r="A16" s="30" t="inlineStr">
        <is>
          <t>Abbotsford</t>
        </is>
      </c>
      <c r="B16" s="30" t="inlineStr">
        <is>
          <t>Fraser Valley</t>
        </is>
      </c>
      <c r="C16" s="44" t="n">
        <v>0.35</v>
      </c>
      <c r="D16" s="45">
        <f>INDEX('RD Agriculture'!$L$2:$L$9,MATCH(B16,'RD Agriculture'!$A$2:$A$9,0))*C16</f>
        <v/>
      </c>
      <c r="E16" s="46">
        <f>D16*MAX(0,'Farm Coefficients'!$B$11)*'Farm Coefficients'!$B$12</f>
        <v/>
      </c>
      <c r="F16" s="30" t="inlineStr">
        <is>
          <t>Service allocation proxy; NOT city-level measured farm diesel</t>
        </is>
      </c>
    </row>
    <row r="17">
      <c r="A17" s="32" t="inlineStr">
        <is>
          <t>Mission</t>
        </is>
      </c>
      <c r="B17" s="32" t="inlineStr">
        <is>
          <t>Fraser Valley</t>
        </is>
      </c>
      <c r="C17" s="47" t="n">
        <v>0.15</v>
      </c>
      <c r="D17" s="48">
        <f>INDEX('RD Agriculture'!$L$2:$L$9,MATCH(B17,'RD Agriculture'!$A$2:$A$9,0))*C17</f>
        <v/>
      </c>
      <c r="E17" s="49">
        <f>D17*MAX(0,'Farm Coefficients'!$B$11)*'Farm Coefficients'!$B$12</f>
        <v/>
      </c>
      <c r="F17" s="32" t="inlineStr">
        <is>
          <t>Service allocation proxy; NOT city-level measured farm diesel</t>
        </is>
      </c>
    </row>
    <row r="18">
      <c r="A18" s="30" t="inlineStr">
        <is>
          <t>Maple Ridge</t>
        </is>
      </c>
      <c r="B18" s="30" t="inlineStr">
        <is>
          <t>Greater Vancouver</t>
        </is>
      </c>
      <c r="C18" s="44" t="n">
        <v>1</v>
      </c>
      <c r="D18" s="45">
        <f>INDEX('RD Agriculture'!$L$2:$L$9,MATCH(B18,'RD Agriculture'!$A$2:$A$9,0))*C18</f>
        <v/>
      </c>
      <c r="E18" s="46">
        <f>D18*MAX(0,'Farm Coefficients'!$B$11)*'Farm Coefficients'!$B$12</f>
        <v/>
      </c>
      <c r="F18" s="30" t="inlineStr">
        <is>
          <t>Service allocation proxy; NOT city-level measured farm diesel</t>
        </is>
      </c>
    </row>
    <row r="19">
      <c r="A19" s="40" t="inlineStr">
        <is>
          <t>TOTAL</t>
        </is>
      </c>
      <c r="B19" s="40" t="inlineStr"/>
      <c r="C19" s="50">
        <f>SUM(C2:C18)</f>
        <v/>
      </c>
      <c r="D19" s="51">
        <f>SUM(D2:D18)</f>
        <v/>
      </c>
      <c r="E19" s="52">
        <f>SUM(E2:E18)</f>
        <v/>
      </c>
      <c r="F19" s="40" t="inlineStr">
        <is>
          <t>Sum allocated exactly once across eight districts</t>
        </is>
      </c>
    </row>
  </sheetData>
  <autoFilter ref="A1:F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55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38" customHeight="1">
      <c r="A1" s="29" t="inlineStr">
        <is>
          <t>Intensity multiplier</t>
        </is>
      </c>
      <c r="B1" s="29" t="inlineStr">
        <is>
          <t>Price premium CAD/L</t>
        </is>
      </c>
      <c r="C1" s="29" t="inlineStr">
        <is>
          <t>Diesel L/year</t>
        </is>
      </c>
      <c r="D1" s="29" t="inlineStr">
        <is>
          <t>Subsidy CAD/year</t>
        </is>
      </c>
      <c r="E1" s="29" t="inlineStr">
        <is>
          <t>Phase 1 CAD/year</t>
        </is>
      </c>
      <c r="F1" s="29" t="inlineStr">
        <is>
          <t>Status</t>
        </is>
      </c>
    </row>
    <row r="2">
      <c r="A2" s="30" t="n">
        <v>0.5</v>
      </c>
      <c r="B2" s="30" t="n">
        <v>0.1</v>
      </c>
      <c r="C2" s="30">
        <f>'RD Agriculture'!$L$10*A2</f>
        <v/>
      </c>
      <c r="D2" s="30">
        <f>MAX(0,B2)*C2</f>
        <v/>
      </c>
      <c r="E2" s="30">
        <f>D2*'Editable Inputs'!$B$3</f>
        <v/>
      </c>
      <c r="F2" s="30" t="inlineStr">
        <is>
          <t>Scenario sensitivity; not market quotations</t>
        </is>
      </c>
    </row>
    <row r="3">
      <c r="A3" s="32" t="n">
        <v>0.5</v>
      </c>
      <c r="B3" s="32" t="n">
        <v>0.25</v>
      </c>
      <c r="C3" s="32">
        <f>'RD Agriculture'!$L$10*A3</f>
        <v/>
      </c>
      <c r="D3" s="32">
        <f>MAX(0,B3)*C3</f>
        <v/>
      </c>
      <c r="E3" s="32">
        <f>D3*'Editable Inputs'!$B$3</f>
        <v/>
      </c>
      <c r="F3" s="32" t="inlineStr">
        <is>
          <t>Scenario sensitivity; not market quotations</t>
        </is>
      </c>
    </row>
    <row r="4">
      <c r="A4" s="30" t="n">
        <v>0.5</v>
      </c>
      <c r="B4" s="30" t="n">
        <v>0.45</v>
      </c>
      <c r="C4" s="30">
        <f>'RD Agriculture'!$L$10*A4</f>
        <v/>
      </c>
      <c r="D4" s="30">
        <f>MAX(0,B4)*C4</f>
        <v/>
      </c>
      <c r="E4" s="30">
        <f>D4*'Editable Inputs'!$B$3</f>
        <v/>
      </c>
      <c r="F4" s="30" t="inlineStr">
        <is>
          <t>Scenario sensitivity; not market quotations</t>
        </is>
      </c>
    </row>
    <row r="5">
      <c r="A5" s="32" t="n">
        <v>1</v>
      </c>
      <c r="B5" s="32" t="n">
        <v>0.1</v>
      </c>
      <c r="C5" s="32">
        <f>'RD Agriculture'!$L$10*A5</f>
        <v/>
      </c>
      <c r="D5" s="32">
        <f>MAX(0,B5)*C5</f>
        <v/>
      </c>
      <c r="E5" s="32">
        <f>D5*'Editable Inputs'!$B$3</f>
        <v/>
      </c>
      <c r="F5" s="32" t="inlineStr">
        <is>
          <t>Scenario sensitivity; not market quotations</t>
        </is>
      </c>
    </row>
    <row r="6">
      <c r="A6" s="30" t="n">
        <v>1</v>
      </c>
      <c r="B6" s="30" t="n">
        <v>0.25</v>
      </c>
      <c r="C6" s="30">
        <f>'RD Agriculture'!$L$10*A6</f>
        <v/>
      </c>
      <c r="D6" s="30">
        <f>MAX(0,B6)*C6</f>
        <v/>
      </c>
      <c r="E6" s="30">
        <f>D6*'Editable Inputs'!$B$3</f>
        <v/>
      </c>
      <c r="F6" s="30" t="inlineStr">
        <is>
          <t>Scenario sensitivity; not market quotations</t>
        </is>
      </c>
    </row>
    <row r="7">
      <c r="A7" s="32" t="n">
        <v>1</v>
      </c>
      <c r="B7" s="32" t="n">
        <v>0.45</v>
      </c>
      <c r="C7" s="32">
        <f>'RD Agriculture'!$L$10*A7</f>
        <v/>
      </c>
      <c r="D7" s="32">
        <f>MAX(0,B7)*C7</f>
        <v/>
      </c>
      <c r="E7" s="32">
        <f>D7*'Editable Inputs'!$B$3</f>
        <v/>
      </c>
      <c r="F7" s="32" t="inlineStr">
        <is>
          <t>Scenario sensitivity; not market quotations</t>
        </is>
      </c>
    </row>
    <row r="8">
      <c r="A8" s="30" t="n">
        <v>1.6</v>
      </c>
      <c r="B8" s="30" t="n">
        <v>0.1</v>
      </c>
      <c r="C8" s="30">
        <f>'RD Agriculture'!$L$10*A8</f>
        <v/>
      </c>
      <c r="D8" s="30">
        <f>MAX(0,B8)*C8</f>
        <v/>
      </c>
      <c r="E8" s="30">
        <f>D8*'Editable Inputs'!$B$3</f>
        <v/>
      </c>
      <c r="F8" s="30" t="inlineStr">
        <is>
          <t>Scenario sensitivity; not market quotations</t>
        </is>
      </c>
    </row>
    <row r="9">
      <c r="A9" s="32" t="n">
        <v>1.6</v>
      </c>
      <c r="B9" s="32" t="n">
        <v>0.25</v>
      </c>
      <c r="C9" s="32">
        <f>'RD Agriculture'!$L$10*A9</f>
        <v/>
      </c>
      <c r="D9" s="32">
        <f>MAX(0,B9)*C9</f>
        <v/>
      </c>
      <c r="E9" s="32">
        <f>D9*'Editable Inputs'!$B$3</f>
        <v/>
      </c>
      <c r="F9" s="32" t="inlineStr">
        <is>
          <t>Scenario sensitivity; not market quotations</t>
        </is>
      </c>
    </row>
    <row r="10">
      <c r="A10" s="30" t="n">
        <v>1.6</v>
      </c>
      <c r="B10" s="30" t="n">
        <v>0.45</v>
      </c>
      <c r="C10" s="30">
        <f>'RD Agriculture'!$L$10*A10</f>
        <v/>
      </c>
      <c r="D10" s="30">
        <f>MAX(0,B10)*C10</f>
        <v/>
      </c>
      <c r="E10" s="30">
        <f>D10*'Editable Inputs'!$B$3</f>
        <v/>
      </c>
      <c r="F10" s="30" t="inlineStr">
        <is>
          <t>Scenario sensitivity; not market quotations</t>
        </is>
      </c>
    </row>
  </sheetData>
  <autoFilter ref="A1:F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5" customWidth="1" min="2" max="2"/>
    <col width="75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38" customHeight="1">
      <c r="A1" s="29" t="inlineStr">
        <is>
          <t>MEASURE / RECONCILIATION</t>
        </is>
      </c>
      <c r="B1" s="29" t="inlineStr">
        <is>
          <t>VALUE</t>
        </is>
      </c>
      <c r="C1" s="29" t="inlineStr">
        <is>
          <t>INTERPRETATION</t>
        </is>
      </c>
    </row>
    <row r="2">
      <c r="A2" s="30" t="inlineStr">
        <is>
          <t>Count of linked 2021 census districts</t>
        </is>
      </c>
      <c r="B2" s="30">
        <f>COUNTA('RD Agriculture'!A2:A9)</f>
        <v/>
      </c>
      <c r="C2" s="30" t="inlineStr">
        <is>
          <t>Regions include farmland outside host municipal boundaries</t>
        </is>
      </c>
    </row>
    <row r="3">
      <c r="A3" s="32" t="inlineStr">
        <is>
          <t>Count of host communities</t>
        </is>
      </c>
      <c r="B3" s="32">
        <f>COUNTA('17 Community Allocation'!A2:A18)</f>
        <v/>
      </c>
      <c r="C3" s="32" t="inlineStr">
        <is>
          <t>Site weights not observed farm distribution</t>
        </is>
      </c>
    </row>
    <row r="4">
      <c r="A4" s="30" t="inlineStr">
        <is>
          <t>Farms in broader 8-RD area</t>
        </is>
      </c>
      <c r="B4" s="30">
        <f>'RD Agriculture'!B10</f>
        <v/>
      </c>
      <c r="C4" s="30" t="inlineStr">
        <is>
          <t>Farm count official 2021, not 2026</t>
        </is>
      </c>
    </row>
    <row r="5">
      <c r="A5" s="32" t="inlineStr">
        <is>
          <t>Census farmland in broader 8-RD area (ha)</t>
        </is>
      </c>
      <c r="B5" s="32">
        <f>'RD Agriculture'!N10</f>
        <v/>
      </c>
      <c r="C5" s="32" t="inlineStr">
        <is>
          <t>Includes pasture/natural land; not all ploughed</t>
        </is>
      </c>
    </row>
    <row r="6">
      <c r="A6" s="30" t="inlineStr">
        <is>
          <t>Farming machinery diesel SCREEN litres/year</t>
        </is>
      </c>
      <c r="B6" s="30">
        <f>'RD Agriculture'!L10</f>
        <v/>
      </c>
      <c r="C6" s="30" t="inlineStr">
        <is>
          <t>Assumptions, NOT volume sales</t>
        </is>
      </c>
    </row>
    <row r="7">
      <c r="A7" s="32" t="inlineStr">
        <is>
          <t>Annual ag price-parity CAD/year</t>
        </is>
      </c>
      <c r="B7" s="32">
        <f>'RD Agriculture'!M10</f>
        <v/>
      </c>
      <c r="C7" s="32" t="inlineStr">
        <is>
          <t>Max(0, renewable-fossil premium) times replaced L</t>
        </is>
      </c>
    </row>
    <row r="8">
      <c r="A8" s="30" t="inlineStr">
        <is>
          <t>Earlier unverified agriculture allocation L/year</t>
        </is>
      </c>
      <c r="B8" s="30">
        <f>'Farm Coefficients'!B16</f>
        <v/>
      </c>
      <c r="C8" s="30" t="inlineStr">
        <is>
          <t>Replaced by farm-sector bottom-up screen</t>
        </is>
      </c>
    </row>
    <row r="9">
      <c r="A9" s="32" t="inlineStr">
        <is>
          <t>Old allocation less screening L/year</t>
        </is>
      </c>
      <c r="B9" s="32">
        <f>B8-B6</f>
        <v/>
      </c>
      <c r="C9" s="32" t="inlineStr">
        <is>
          <t>Should not be misconstrued as measured excess</t>
        </is>
      </c>
    </row>
    <row r="10">
      <c r="A10" s="30" t="inlineStr">
        <is>
          <t>Full annual community beneficiary value CAD m</t>
        </is>
      </c>
      <c r="B10" s="30">
        <f>'Two-phase Benefits'!C19</f>
        <v/>
      </c>
      <c r="C10" s="30" t="inlineStr">
        <is>
          <t>Includes vehicle-provision optional scenario</t>
        </is>
      </c>
    </row>
    <row r="11">
      <c r="A11" s="32" t="inlineStr">
        <is>
          <t>Annual program funding CAD m</t>
        </is>
      </c>
      <c r="B11" s="32">
        <f>'Two-phase Benefits'!C20</f>
        <v/>
      </c>
      <c r="C11" s="32" t="inlineStr">
        <is>
          <t>Finance requirement not audited cash-flow</t>
        </is>
      </c>
    </row>
    <row r="12">
      <c r="A12" s="30" t="inlineStr">
        <is>
          <t>No free household electricity</t>
        </is>
      </c>
      <c r="B12" s="30">
        <f>'Two-phase Benefits'!C18</f>
        <v/>
      </c>
      <c r="C12" s="30" t="inlineStr">
        <is>
          <t>Confirmed zero</t>
        </is>
      </c>
    </row>
    <row r="13">
      <c r="A13" s="32" t="inlineStr">
        <is>
          <t>Food 146/46-kg entitlements preserved</t>
        </is>
      </c>
      <c r="B13" s="32">
        <f>'Food Entitlement Summary'!D7</f>
        <v/>
      </c>
      <c r="C13" s="32" t="inlineStr">
        <is>
          <t>Tonnes of produce + seafood combined</t>
        </is>
      </c>
    </row>
    <row r="14">
      <c r="A14" s="30" t="inlineStr">
        <is>
          <t>Fossil diesel direct combustion t CO2/year</t>
        </is>
      </c>
      <c r="B14" s="30">
        <f>'RD Agriculture'!L10*'Farm Coefficients'!B13/1000</f>
        <v/>
      </c>
      <c r="C14" s="30" t="inlineStr">
        <is>
          <t>Comparator only; fuel lifecycle reductions NOT calculated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2026-10-20T04:26:59Z</dcterms:created>
  <dcterms:modified xmlns:dcterms="http://purl.org/dc/terms/" xmlns:xsi="http://www.w3.org/2001/XMLSchema-instance" xsi:type="dcterms:W3CDTF">2026-10-20T04:26:59Z</dcterms:modified>
</cp:coreProperties>
</file>